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roject 1 next hike\project 1 next hike\"/>
    </mc:Choice>
  </mc:AlternateContent>
  <xr:revisionPtr revIDLastSave="0" documentId="13_ncr:1_{56EE0DB2-9FAF-4864-9083-A86BC0852E8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power query data 1" sheetId="2" r:id="rId1"/>
    <sheet name="project query data 2" sheetId="3" r:id="rId2"/>
    <sheet name="project power query3" sheetId="4" r:id="rId3"/>
    <sheet name="Chart and Analysis" sheetId="17" r:id="rId4"/>
    <sheet name="pivot table analysis" sheetId="18" r:id="rId5"/>
    <sheet name="kpi chart1" sheetId="26" r:id="rId6"/>
    <sheet name="dashboard" sheetId="23" r:id="rId7"/>
    <sheet name="data setA" sheetId="24" r:id="rId8"/>
    <sheet name="data set merge final" sheetId="5" r:id="rId9"/>
  </sheets>
  <definedNames>
    <definedName name="_xlnm._FilterDatabase" localSheetId="4" hidden="1">'pivot table analysis'!$J$20:$K$24</definedName>
    <definedName name="_xlcn.WorksheetConnection_newproje.xlsxpower_query_data_11" hidden="1">power_query_data_1[]</definedName>
    <definedName name="_xlcn.WorksheetConnection_newproje.xlsxproject_power_query1" hidden="1">project_power_query[]</definedName>
    <definedName name="_xlcn.WorksheetConnection_projectpowerqueryFF1" hidden="1">'data set merge final'!$F:$F</definedName>
    <definedName name="ExternalData_1" localSheetId="8" hidden="1">'data set merge final'!$A$1:$Q$1001</definedName>
    <definedName name="ExternalData_1" localSheetId="7" hidden="1">'data setA'!$A$1:$Q$600</definedName>
    <definedName name="ExternalData_1" localSheetId="0" hidden="1">'power query data 1'!$A$1:$K$611</definedName>
    <definedName name="ExternalData_1" localSheetId="2" hidden="1">'project power query3'!$A$1:$P$391</definedName>
    <definedName name="ExternalData_1" localSheetId="1" hidden="1">'project query data 2'!$A$1:$H$611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roject power query!$F:$F"/>
          <x15:modelTable id="project_power_query" name="project_power_query" connection="WorksheetConnection_new proje.xlsx!project_power_query"/>
          <x15:modelTable id="power_query_data_1" name="power_query_data_1" connection="WorksheetConnection_new proje.xlsx!power_query_data_1"/>
        </x15:modelTables>
        <x15:extLst>
          <ext xmlns:x16="http://schemas.microsoft.com/office/spreadsheetml/2014/11/main" uri="{9835A34E-60A6-4A7C-AAB8-D5F71C897F49}">
            <x16:modelTimeGroupings>
              <x16:modelTimeGrouping tableName="project_power_query" columnName="dteday" columnId="dteday">
                <x16:calculatedTimeColumn columnName="dteday (Month Index)" columnId="dteday (Month Index)" contentType="monthsindex" isSelected="1"/>
                <x16:calculatedTimeColumn columnName="dteday (Month)" columnId="dteday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24" l="1"/>
  <c r="U17" i="24"/>
  <c r="U16" i="24"/>
  <c r="T15" i="24"/>
  <c r="T18" i="24"/>
  <c r="T17" i="24"/>
  <c r="T16" i="24"/>
  <c r="U15" i="24"/>
  <c r="C16" i="23"/>
  <c r="C12" i="23"/>
  <c r="L13" i="23"/>
  <c r="M13" i="23"/>
  <c r="N13" i="23"/>
  <c r="C15" i="23"/>
  <c r="F12" i="23"/>
  <c r="F13" i="23"/>
  <c r="C13" i="23"/>
  <c r="C17" i="23"/>
  <c r="S14" i="23"/>
  <c r="R14" i="23"/>
  <c r="Q14" i="23"/>
  <c r="R11" i="23"/>
  <c r="Q11" i="23"/>
  <c r="P11" i="23"/>
  <c r="R8" i="23"/>
  <c r="Q8" i="23"/>
  <c r="P8" i="23"/>
  <c r="M9" i="23"/>
  <c r="M8" i="23"/>
  <c r="M7" i="23"/>
  <c r="I13" i="23"/>
  <c r="I12" i="23"/>
  <c r="I11" i="23"/>
  <c r="I9" i="23"/>
  <c r="I8" i="23"/>
  <c r="I7" i="23"/>
  <c r="S17" i="4"/>
  <c r="S16" i="4"/>
  <c r="S13" i="4"/>
  <c r="S12" i="4"/>
  <c r="S9" i="4"/>
  <c r="S8" i="4"/>
  <c r="S7" i="4"/>
  <c r="C1048576" i="5"/>
  <c r="N15" i="2"/>
  <c r="N14" i="2"/>
  <c r="N13" i="2"/>
  <c r="N12" i="2"/>
  <c r="N11" i="2"/>
  <c r="N10" i="2"/>
  <c r="M9" i="2"/>
  <c r="M7" i="2"/>
  <c r="M5" i="2"/>
  <c r="J2" i="5"/>
  <c r="C11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111117-3394-4881-BDBF-F939FF4EDFEC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FF30ABA6-BB0C-4D87-89FB-87365E6B2E01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82A41B71-94EA-43FD-B569-699A6E95E26C}" keepAlive="1" name="Query - dataset_1" description="Connection to the 'dataset_1' query in the workbook." type="5" refreshedVersion="0" background="1">
    <dbPr connection="Provider=Microsoft.Mashup.OleDb.1;Data Source=$Workbook$;Location=dataset_1;Extended Properties=&quot;&quot;" command="SELECT * FROM [dataset_1]"/>
  </connection>
  <connection id="4" xr16:uid="{BDF2FEDB-8D50-4BCE-8AD7-C23D71B7E852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  <connection id="5" xr16:uid="{52529475-A43F-42F2-BC00-3E01A7A30B6D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6" xr16:uid="{16FAEBC7-6E28-47BF-AA84-88986F4DA1FF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7" xr16:uid="{E899570F-56D6-48C4-802C-A54FC3AC87CF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8" xr16:uid="{08D826BD-C082-4547-8D35-276D6EFEB3C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9" xr16:uid="{80E4CD43-4CC9-40AE-9B44-096A5C6DFDC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0" xr16:uid="{A93BC7CC-6F50-4C94-BD5F-C1B45B54329E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1" xr16:uid="{383CDD03-3EEA-43A4-B219-4D19B5C98D64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2" xr16:uid="{90B03519-7AF4-4026-96E2-9F0612104315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3" xr16:uid="{0F8C9B05-A1DE-48A3-8910-9B35D9E5E427}" keepAlive="1" name="Query - power query data 1" description="Connection to the 'power query data 1' query in the workbook." type="5" refreshedVersion="8" background="1" saveData="1">
    <dbPr connection="Provider=Microsoft.Mashup.OleDb.1;Data Source=$Workbook$;Location=&quot;power query data 1&quot;;Extended Properties=&quot;&quot;" command="SELECT * FROM [power query data 1]"/>
  </connection>
  <connection id="14" xr16:uid="{0DCA6742-EE41-4417-852E-86F3094A2EA0}" keepAlive="1" name="Query - project power query" description="Connection to the 'project power query' query in the workbook." type="5" refreshedVersion="8" background="1" saveData="1">
    <dbPr connection="Provider=Microsoft.Mashup.OleDb.1;Data Source=$Workbook$;Location=&quot;project power query&quot;;Extended Properties=&quot;&quot;" command="SELECT * FROM [project power query]"/>
  </connection>
  <connection id="15" xr16:uid="{A968E6A5-C445-43DE-B736-D9ABE2F8AE2E}" keepAlive="1" name="Query - project power query3" description="Connection to the 'project power query3' query in the workbook." type="5" refreshedVersion="8" background="1" saveData="1">
    <dbPr connection="Provider=Microsoft.Mashup.OleDb.1;Data Source=$Workbook$;Location=&quot;project power query3&quot;;Extended Properties=&quot;&quot;" command="SELECT * FROM [project power query3]"/>
  </connection>
  <connection id="16" xr16:uid="{8B0989A9-F255-40F0-8F39-D26E9008C812}" keepAlive="1" name="Query - project query data 2" description="Connection to the 'project query data 2' query in the workbook." type="5" refreshedVersion="8" background="1" saveData="1">
    <dbPr connection="Provider=Microsoft.Mashup.OleDb.1;Data Source=$Workbook$;Location=&quot;project query data 2&quot;;Extended Properties=&quot;&quot;" command="SELECT * FROM [project query data 2]"/>
  </connection>
  <connection id="17" xr16:uid="{40305E72-4AA1-414D-B1EE-3F5225FBFA0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8" xr16:uid="{037AA19B-53FD-42F0-AC03-76A538A9685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9" xr16:uid="{CF782CA6-FDEF-4FE6-897A-7965CD80A124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20" xr16:uid="{694F9F03-D6AB-4F1D-A555-6A489C460CCA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21" xr16:uid="{8D710E04-BD44-4B8D-A6B0-EFE4A8B0CAF1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22" xr16:uid="{6CC49AD0-C0E1-4BAA-B7D2-46A67DF3A28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3" xr16:uid="{7A83B974-F6F7-4035-9908-868AB9B486E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4" xr16:uid="{B26B59E1-3D20-4BFA-8B6B-249AE27FE788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5" xr16:uid="{ACA7EE4B-CE1B-419D-9F6A-B857B444862E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6" xr16:uid="{ECD6A1EA-6C69-4376-BEF0-74F1BED6350D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27" xr16:uid="{C6B39D02-6028-4779-A533-ABDF26270E7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8" xr16:uid="{6E1CBDF5-E3B3-4182-A975-65AA39B2E962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9" xr16:uid="{13FCA0C6-6BF2-4C62-A4C8-C5D60C0596E3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0" xr16:uid="{2D425FC3-A34D-4C11-98F8-E407D871347B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31" xr16:uid="{BD407DE7-FBB4-4DEC-98E4-34FC9CFF6A73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32" xr16:uid="{18769E31-8CE2-4AF2-914C-503FF6425A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3" xr16:uid="{83D6D4C6-A568-4387-9D09-564E7ADEA32D}" name="WorksheetConnection_new proje.xlsx!power_query_data_1" type="102" refreshedVersion="8" minRefreshableVersion="5">
    <extLst>
      <ext xmlns:x15="http://schemas.microsoft.com/office/spreadsheetml/2010/11/main" uri="{DE250136-89BD-433C-8126-D09CA5730AF9}">
        <x15:connection id="power_query_data_1">
          <x15:rangePr sourceName="_xlcn.WorksheetConnection_newproje.xlsxpower_query_data_11"/>
        </x15:connection>
      </ext>
    </extLst>
  </connection>
  <connection id="34" xr16:uid="{7D2B250A-534C-40EE-8B99-E25E307F52BA}" name="WorksheetConnection_new proje.xlsx!project_power_query" type="102" refreshedVersion="8" minRefreshableVersion="5">
    <extLst>
      <ext xmlns:x15="http://schemas.microsoft.com/office/spreadsheetml/2010/11/main" uri="{DE250136-89BD-433C-8126-D09CA5730AF9}">
        <x15:connection id="project_power_query">
          <x15:rangePr sourceName="_xlcn.WorksheetConnection_newproje.xlsxproject_power_query1"/>
        </x15:connection>
      </ext>
    </extLst>
  </connection>
  <connection id="35" xr16:uid="{12495441-0385-41AA-8EA7-CB055B036F07}" name="WorksheetConnection_project power query!$F:$F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jectpowerqueryFF1"/>
        </x15:connection>
      </ext>
    </extLst>
  </connection>
</connections>
</file>

<file path=xl/sharedStrings.xml><?xml version="1.0" encoding="utf-8"?>
<sst xmlns="http://schemas.openxmlformats.org/spreadsheetml/2006/main" count="5070" uniqueCount="832">
  <si>
    <t>instant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</si>
  <si>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</si>
  <si>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</si>
  <si>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</si>
  <si>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</si>
  <si>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</si>
  <si>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</si>
  <si>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</si>
  <si>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</si>
  <si>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</si>
  <si>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</si>
  <si>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</si>
  <si>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</si>
  <si>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</si>
  <si>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</si>
  <si>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</si>
  <si>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</si>
  <si>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atemp_imputed</t>
  </si>
  <si>
    <t>1</t>
  </si>
  <si>
    <t>0.2879</t>
  </si>
  <si>
    <t>0.81</t>
  </si>
  <si>
    <t>0.0</t>
  </si>
  <si>
    <t>3</t>
  </si>
  <si>
    <t>13</t>
  </si>
  <si>
    <t>16</t>
  </si>
  <si>
    <t>False</t>
  </si>
  <si>
    <t>2</t>
  </si>
  <si>
    <t>0.2727</t>
  </si>
  <si>
    <t>0.8</t>
  </si>
  <si>
    <t>8</t>
  </si>
  <si>
    <t>32</t>
  </si>
  <si>
    <t>40</t>
  </si>
  <si>
    <t>5</t>
  </si>
  <si>
    <t>27</t>
  </si>
  <si>
    <t>4</t>
  </si>
  <si>
    <t>0.75</t>
  </si>
  <si>
    <t>10</t>
  </si>
  <si>
    <t>0</t>
  </si>
  <si>
    <t>6</t>
  </si>
  <si>
    <t>0.2576</t>
  </si>
  <si>
    <t>0.0896</t>
  </si>
  <si>
    <t>7</t>
  </si>
  <si>
    <t>0.86</t>
  </si>
  <si>
    <t>9</t>
  </si>
  <si>
    <t>0.303</t>
  </si>
  <si>
    <t>True</t>
  </si>
  <si>
    <t>0.3485</t>
  </si>
  <si>
    <t>0.76</t>
  </si>
  <si>
    <t>14</t>
  </si>
  <si>
    <t>11</t>
  </si>
  <si>
    <t>0.3939</t>
  </si>
  <si>
    <t>0.2537</t>
  </si>
  <si>
    <t>12</t>
  </si>
  <si>
    <t>24</t>
  </si>
  <si>
    <t>36</t>
  </si>
  <si>
    <t>0.3333</t>
  </si>
  <si>
    <t>0.2836</t>
  </si>
  <si>
    <t>26</t>
  </si>
  <si>
    <t>30</t>
  </si>
  <si>
    <t>56</t>
  </si>
  <si>
    <t>0.4242</t>
  </si>
  <si>
    <t>0.77</t>
  </si>
  <si>
    <t>29</t>
  </si>
  <si>
    <t>55</t>
  </si>
  <si>
    <t>84</t>
  </si>
  <si>
    <t>0.4545</t>
  </si>
  <si>
    <t>0.72</t>
  </si>
  <si>
    <t>0.2985</t>
  </si>
  <si>
    <t>47</t>
  </si>
  <si>
    <t>94</t>
  </si>
  <si>
    <t>15</t>
  </si>
  <si>
    <t>35</t>
  </si>
  <si>
    <t>71</t>
  </si>
  <si>
    <t>106</t>
  </si>
  <si>
    <t>0.4394</t>
  </si>
  <si>
    <t>70</t>
  </si>
  <si>
    <t>110</t>
  </si>
  <si>
    <t>17</t>
  </si>
  <si>
    <t>0.82</t>
  </si>
  <si>
    <t>41</t>
  </si>
  <si>
    <t>52</t>
  </si>
  <si>
    <t>93</t>
  </si>
  <si>
    <t>18</t>
  </si>
  <si>
    <t>67</t>
  </si>
  <si>
    <t>19</t>
  </si>
  <si>
    <t>0.88</t>
  </si>
  <si>
    <t>20</t>
  </si>
  <si>
    <t>31</t>
  </si>
  <si>
    <t>37</t>
  </si>
  <si>
    <t>21</t>
  </si>
  <si>
    <t>0.4091</t>
  </si>
  <si>
    <t>0.87</t>
  </si>
  <si>
    <t>25</t>
  </si>
  <si>
    <t>22</t>
  </si>
  <si>
    <t>0.194</t>
  </si>
  <si>
    <t>34</t>
  </si>
  <si>
    <t>23</t>
  </si>
  <si>
    <t>0.94</t>
  </si>
  <si>
    <t>0.2239</t>
  </si>
  <si>
    <t>28</t>
  </si>
  <si>
    <t>39</t>
  </si>
  <si>
    <t>1.0</t>
  </si>
  <si>
    <t>0.71</t>
  </si>
  <si>
    <t>33</t>
  </si>
  <si>
    <t>46</t>
  </si>
  <si>
    <t>53</t>
  </si>
  <si>
    <t>54</t>
  </si>
  <si>
    <t>0.66</t>
  </si>
  <si>
    <t>73</t>
  </si>
  <si>
    <t>0.1343</t>
  </si>
  <si>
    <t>64</t>
  </si>
  <si>
    <t>75</t>
  </si>
  <si>
    <t>38</t>
  </si>
  <si>
    <t>59</t>
  </si>
  <si>
    <t>0.1642</t>
  </si>
  <si>
    <t>74</t>
  </si>
  <si>
    <t>76</t>
  </si>
  <si>
    <t>0.57</t>
  </si>
  <si>
    <t>58</t>
  </si>
  <si>
    <t>65</t>
  </si>
  <si>
    <t>42</t>
  </si>
  <si>
    <t>0.46</t>
  </si>
  <si>
    <t>0.3284</t>
  </si>
  <si>
    <t>43</t>
  </si>
  <si>
    <t>0.42</t>
  </si>
  <si>
    <t>0.4478</t>
  </si>
  <si>
    <t>44</t>
  </si>
  <si>
    <t>0.39</t>
  </si>
  <si>
    <t>0.3582</t>
  </si>
  <si>
    <t>45</t>
  </si>
  <si>
    <t>0.2273</t>
  </si>
  <si>
    <t>0.44</t>
  </si>
  <si>
    <t>0.2121</t>
  </si>
  <si>
    <t>0.47</t>
  </si>
  <si>
    <t>48</t>
  </si>
  <si>
    <t>0.197</t>
  </si>
  <si>
    <t>49</t>
  </si>
  <si>
    <t>0.1667</t>
  </si>
  <si>
    <t>0.4179</t>
  </si>
  <si>
    <t>50</t>
  </si>
  <si>
    <t>0.1364</t>
  </si>
  <si>
    <t>0.3881</t>
  </si>
  <si>
    <t>51</t>
  </si>
  <si>
    <t>0.1061</t>
  </si>
  <si>
    <t>0.5</t>
  </si>
  <si>
    <t>63</t>
  </si>
  <si>
    <t>0.1212</t>
  </si>
  <si>
    <t>153</t>
  </si>
  <si>
    <t>154</t>
  </si>
  <si>
    <t>0.43</t>
  </si>
  <si>
    <t>81</t>
  </si>
  <si>
    <t>88</t>
  </si>
  <si>
    <t>57</t>
  </si>
  <si>
    <t>0.1818</t>
  </si>
  <si>
    <t>0.4</t>
  </si>
  <si>
    <t>0.35</t>
  </si>
  <si>
    <t>61</t>
  </si>
  <si>
    <t>60</t>
  </si>
  <si>
    <t>0.2424</t>
  </si>
  <si>
    <t>0.3</t>
  </si>
  <si>
    <t>66</t>
  </si>
  <si>
    <t>77</t>
  </si>
  <si>
    <t>72</t>
  </si>
  <si>
    <t>62</t>
  </si>
  <si>
    <t>146</t>
  </si>
  <si>
    <t>157</t>
  </si>
  <si>
    <t>0.32</t>
  </si>
  <si>
    <t>0.1045</t>
  </si>
  <si>
    <t>148</t>
  </si>
  <si>
    <t>102</t>
  </si>
  <si>
    <t>0.64</t>
  </si>
  <si>
    <t>68</t>
  </si>
  <si>
    <t>0.1515</t>
  </si>
  <si>
    <t>0.69</t>
  </si>
  <si>
    <t>69</t>
  </si>
  <si>
    <t>0.55</t>
  </si>
  <si>
    <t>0.59</t>
  </si>
  <si>
    <t>0.63</t>
  </si>
  <si>
    <t>0.68</t>
  </si>
  <si>
    <t>0.74</t>
  </si>
  <si>
    <t>92</t>
  </si>
  <si>
    <t>177</t>
  </si>
  <si>
    <t>179</t>
  </si>
  <si>
    <t>78</t>
  </si>
  <si>
    <t>98</t>
  </si>
  <si>
    <t>100</t>
  </si>
  <si>
    <t>79</t>
  </si>
  <si>
    <t>80</t>
  </si>
  <si>
    <t>0.51</t>
  </si>
  <si>
    <t>82</t>
  </si>
  <si>
    <t>0.56</t>
  </si>
  <si>
    <t>97</t>
  </si>
  <si>
    <t>83</t>
  </si>
  <si>
    <t>0.52</t>
  </si>
  <si>
    <t>85</t>
  </si>
  <si>
    <t>0.49</t>
  </si>
  <si>
    <t>86</t>
  </si>
  <si>
    <t>0.48</t>
  </si>
  <si>
    <t>202</t>
  </si>
  <si>
    <t>212</t>
  </si>
  <si>
    <t>87</t>
  </si>
  <si>
    <t>182</t>
  </si>
  <si>
    <t>112</t>
  </si>
  <si>
    <t>89</t>
  </si>
  <si>
    <t>90</t>
  </si>
  <si>
    <t>91</t>
  </si>
  <si>
    <t>95</t>
  </si>
  <si>
    <t>96</t>
  </si>
  <si>
    <t>99</t>
  </si>
  <si>
    <t>192</t>
  </si>
  <si>
    <t>195</t>
  </si>
  <si>
    <t>101</t>
  </si>
  <si>
    <t>0.37</t>
  </si>
  <si>
    <t>109</t>
  </si>
  <si>
    <t>115</t>
  </si>
  <si>
    <t>103</t>
  </si>
  <si>
    <t>0.33</t>
  </si>
  <si>
    <t>104</t>
  </si>
  <si>
    <t>105</t>
  </si>
  <si>
    <t>0.28</t>
  </si>
  <si>
    <t>107</t>
  </si>
  <si>
    <t>108</t>
  </si>
  <si>
    <t>0.3182</t>
  </si>
  <si>
    <t>0.38</t>
  </si>
  <si>
    <t>186</t>
  </si>
  <si>
    <t>190</t>
  </si>
  <si>
    <t>166</t>
  </si>
  <si>
    <t>169</t>
  </si>
  <si>
    <t>111</t>
  </si>
  <si>
    <t>127</t>
  </si>
  <si>
    <t>132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</si>
  <si>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</si>
  <si>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</si>
  <si>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</si>
  <si>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</si>
  <si>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</si>
  <si>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</si>
  <si>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</si>
  <si>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</si>
  <si>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</si>
  <si>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123</t>
  </si>
  <si>
    <t>216</t>
  </si>
  <si>
    <t>219</t>
  </si>
  <si>
    <t>124</t>
  </si>
  <si>
    <t>125</t>
  </si>
  <si>
    <t>126</t>
  </si>
  <si>
    <t>128</t>
  </si>
  <si>
    <t>129</t>
  </si>
  <si>
    <t>0.36</t>
  </si>
  <si>
    <t>130</t>
  </si>
  <si>
    <t>131</t>
  </si>
  <si>
    <t>163</t>
  </si>
  <si>
    <t>172</t>
  </si>
  <si>
    <t>133</t>
  </si>
  <si>
    <t>158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</si>
  <si>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</si>
  <si>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</si>
  <si>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</si>
  <si>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</si>
  <si>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</si>
  <si>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</si>
  <si>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</si>
  <si>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</si>
  <si>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</si>
  <si>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</si>
  <si>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</si>
  <si>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</si>
  <si>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210</t>
  </si>
  <si>
    <t>147</t>
  </si>
  <si>
    <t>149</t>
  </si>
  <si>
    <t>150</t>
  </si>
  <si>
    <t>151</t>
  </si>
  <si>
    <t>152</t>
  </si>
  <si>
    <t>155</t>
  </si>
  <si>
    <t>178</t>
  </si>
  <si>
    <t>187</t>
  </si>
  <si>
    <t>156</t>
  </si>
  <si>
    <t>159</t>
  </si>
  <si>
    <t>160</t>
  </si>
  <si>
    <t>161</t>
  </si>
  <si>
    <t>162</t>
  </si>
  <si>
    <t>164</t>
  </si>
  <si>
    <t>165</t>
  </si>
  <si>
    <t>167</t>
  </si>
  <si>
    <t>168</t>
  </si>
  <si>
    <t>170</t>
  </si>
  <si>
    <t>0.93</t>
  </si>
  <si>
    <t>171</t>
  </si>
  <si>
    <t>173</t>
  </si>
  <si>
    <t>174</t>
  </si>
  <si>
    <t>175</t>
  </si>
  <si>
    <t>176</t>
  </si>
  <si>
    <t>0.4925</t>
  </si>
  <si>
    <t>0.29</t>
  </si>
  <si>
    <t>0.5522</t>
  </si>
  <si>
    <t>180</t>
  </si>
  <si>
    <t>181</t>
  </si>
  <si>
    <t>183</t>
  </si>
  <si>
    <t>184</t>
  </si>
  <si>
    <t>185</t>
  </si>
  <si>
    <t>0.0606</t>
  </si>
  <si>
    <t>0.0758</t>
  </si>
  <si>
    <t>0.4627</t>
  </si>
  <si>
    <t>188</t>
  </si>
  <si>
    <t>189</t>
  </si>
  <si>
    <t>0.0909</t>
  </si>
  <si>
    <t>0.53</t>
  </si>
  <si>
    <t>191</t>
  </si>
  <si>
    <t>193</t>
  </si>
  <si>
    <t>194</t>
  </si>
  <si>
    <t>0.5224</t>
  </si>
  <si>
    <t>196</t>
  </si>
  <si>
    <t>197</t>
  </si>
  <si>
    <t>198</t>
  </si>
  <si>
    <t>199</t>
  </si>
  <si>
    <t>0.34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</si>
  <si>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</si>
  <si>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</si>
  <si>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</si>
  <si>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</si>
  <si>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</si>
  <si>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</si>
  <si>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</si>
  <si>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</si>
  <si>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</si>
  <si>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211</t>
  </si>
  <si>
    <t>213</t>
  </si>
  <si>
    <t>214</t>
  </si>
  <si>
    <t>0.54</t>
  </si>
  <si>
    <t>215</t>
  </si>
  <si>
    <t>217</t>
  </si>
  <si>
    <t>218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</si>
  <si>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</si>
  <si>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</si>
  <si>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</si>
  <si>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</si>
  <si>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</si>
  <si>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</si>
  <si>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</si>
  <si>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</si>
  <si>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</si>
  <si>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</si>
  <si>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</si>
  <si>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</si>
  <si>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</si>
  <si>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</si>
  <si>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</si>
  <si>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</si>
  <si>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</si>
  <si>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</si>
  <si>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</si>
  <si>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</si>
  <si>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</si>
  <si>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</si>
  <si>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</si>
  <si>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</si>
  <si>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</si>
  <si>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</si>
  <si>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</si>
  <si>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</si>
  <si>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</si>
  <si>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</si>
  <si>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</si>
  <si>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</si>
  <si>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</si>
  <si>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</si>
  <si>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</si>
  <si>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</si>
  <si>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</si>
  <si>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</si>
  <si>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</si>
  <si>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</si>
  <si>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</si>
  <si>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</si>
  <si>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</si>
  <si>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</si>
  <si>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</si>
  <si>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</si>
  <si>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</si>
  <si>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0.5821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</si>
  <si>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</si>
  <si>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</si>
  <si>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</si>
  <si>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</si>
  <si>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</si>
  <si>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</si>
  <si>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</si>
  <si>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</si>
  <si>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</si>
  <si>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</si>
  <si>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</si>
  <si>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</si>
  <si>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</si>
  <si>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</si>
  <si>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</si>
  <si>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</si>
  <si>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</si>
  <si>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</si>
  <si>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</si>
  <si>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</si>
  <si>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</si>
  <si>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</si>
  <si>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</si>
  <si>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</si>
  <si>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</si>
  <si>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0.41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</si>
  <si>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</si>
  <si>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</si>
  <si>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</si>
  <si>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</si>
  <si>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</si>
  <si>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</si>
  <si>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</si>
  <si>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</si>
  <si>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</si>
  <si>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</si>
  <si>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</si>
  <si>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</si>
  <si>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</si>
  <si>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</si>
  <si>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</si>
  <si>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</si>
  <si>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</si>
  <si>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</si>
  <si>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</si>
  <si>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</si>
  <si>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</si>
  <si>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</si>
  <si>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</si>
  <si>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</si>
  <si>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</si>
  <si>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</si>
  <si>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</si>
  <si>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</si>
  <si>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</si>
  <si>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</si>
  <si>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</si>
  <si>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</si>
  <si>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</si>
  <si>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</si>
  <si>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</si>
  <si>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</si>
  <si>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</si>
  <si>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</si>
  <si>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</si>
  <si>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</si>
  <si>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</si>
  <si>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</si>
  <si>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</si>
  <si>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</si>
  <si>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</si>
  <si>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</si>
  <si>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</si>
  <si>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</si>
  <si>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</si>
  <si>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</si>
  <si>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</si>
  <si>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</si>
  <si>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0.45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</si>
  <si>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</si>
  <si>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</si>
  <si>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</si>
  <si>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</si>
  <si>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</si>
  <si>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</si>
  <si>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</si>
  <si>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</si>
  <si>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</si>
  <si>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</si>
  <si>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</si>
  <si>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</si>
  <si>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</si>
  <si>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</si>
  <si>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</si>
  <si>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</si>
  <si>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</si>
  <si>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</si>
  <si>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</si>
  <si>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</si>
  <si>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</si>
  <si>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</si>
  <si>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</si>
  <si>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</si>
  <si>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</si>
  <si>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</si>
  <si>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</si>
  <si>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</si>
  <si>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</si>
  <si>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</si>
  <si>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</si>
  <si>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</si>
  <si>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</si>
  <si>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</si>
  <si>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</si>
  <si>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</si>
  <si>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</si>
  <si>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</si>
  <si>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</si>
  <si>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</si>
  <si>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</si>
  <si>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</si>
  <si>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</si>
  <si>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</si>
  <si>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</si>
  <si>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</si>
  <si>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</si>
  <si>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</si>
  <si>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</si>
  <si>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</si>
  <si>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</si>
  <si>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</si>
  <si>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</si>
  <si>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</si>
  <si>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</si>
  <si>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</si>
  <si>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</si>
  <si>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</si>
  <si>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</si>
  <si>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</si>
  <si>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</si>
  <si>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</si>
  <si>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</si>
  <si>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</si>
  <si>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</si>
  <si>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</si>
  <si>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</si>
  <si>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</si>
  <si>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</si>
  <si>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</si>
  <si>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</si>
  <si>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</si>
  <si>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0.92</t>
  </si>
  <si>
    <t>416</t>
  </si>
  <si>
    <t>417</t>
  </si>
  <si>
    <t>418</t>
  </si>
  <si>
    <t>419</t>
  </si>
  <si>
    <t>420</t>
  </si>
  <si>
    <t>421</t>
  </si>
  <si>
    <t>0.62</t>
  </si>
  <si>
    <t>422</t>
  </si>
  <si>
    <t>0.58</t>
  </si>
  <si>
    <t>423</t>
  </si>
  <si>
    <t>424</t>
  </si>
  <si>
    <t>425</t>
  </si>
  <si>
    <t>426</t>
  </si>
  <si>
    <t>0.61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</si>
  <si>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</si>
  <si>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</si>
  <si>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</si>
  <si>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</si>
  <si>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</si>
  <si>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</si>
  <si>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</si>
  <si>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</si>
  <si>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</si>
  <si>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</si>
  <si>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</si>
  <si>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0.6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</si>
  <si>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</si>
  <si>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</si>
  <si>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</si>
  <si>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</si>
  <si>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</si>
  <si>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</si>
  <si>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</si>
  <si>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</si>
  <si>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</si>
  <si>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</si>
  <si>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</si>
  <si>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</si>
  <si>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</si>
  <si>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</si>
  <si>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</si>
  <si>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</si>
  <si>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</si>
  <si>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0.65</t>
  </si>
  <si>
    <t>455</t>
  </si>
  <si>
    <t>456</t>
  </si>
  <si>
    <t>0.7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</si>
  <si>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</si>
  <si>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</si>
  <si>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</si>
  <si>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</si>
  <si>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</si>
  <si>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</si>
  <si>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</si>
  <si>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</si>
  <si>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</si>
  <si>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</si>
  <si>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</si>
  <si>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</si>
  <si>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0.27</t>
  </si>
  <si>
    <t>469</t>
  </si>
  <si>
    <t>0.21</t>
  </si>
  <si>
    <t>470</t>
  </si>
  <si>
    <t>0.25</t>
  </si>
  <si>
    <t>471</t>
  </si>
  <si>
    <t>0.26</t>
  </si>
  <si>
    <t>472</t>
  </si>
  <si>
    <t>473</t>
  </si>
  <si>
    <t>474</t>
  </si>
  <si>
    <t>475</t>
  </si>
  <si>
    <t>476</t>
  </si>
  <si>
    <t>477</t>
  </si>
  <si>
    <t>478</t>
  </si>
  <si>
    <t>0.0303</t>
  </si>
  <si>
    <t>479</t>
  </si>
  <si>
    <t>0.0455</t>
  </si>
  <si>
    <t>480</t>
  </si>
  <si>
    <t>481</t>
  </si>
  <si>
    <t>482</t>
  </si>
  <si>
    <t>483</t>
  </si>
  <si>
    <t>484</t>
  </si>
  <si>
    <t>0.0152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</si>
  <si>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</si>
  <si>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</si>
  <si>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</si>
  <si>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</si>
  <si>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</si>
  <si>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</si>
  <si>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</si>
  <si>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</si>
  <si>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</si>
  <si>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</si>
  <si>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</si>
  <si>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</si>
  <si>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</si>
  <si>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</si>
  <si>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</si>
  <si>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</si>
  <si>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</si>
  <si>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</si>
  <si>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</si>
  <si>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</si>
  <si>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</si>
  <si>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</si>
  <si>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</si>
  <si>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</si>
  <si>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</si>
  <si>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</si>
  <si>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</si>
  <si>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</si>
  <si>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</si>
  <si>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</si>
  <si>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</si>
  <si>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</si>
  <si>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</si>
  <si>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</si>
  <si>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</si>
  <si>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</si>
  <si>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</si>
  <si>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</si>
  <si>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</si>
  <si>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</si>
  <si>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</si>
  <si>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</si>
  <si>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</si>
  <si>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</si>
  <si>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</si>
  <si>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</si>
  <si>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</si>
  <si>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</si>
  <si>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</si>
  <si>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</si>
  <si>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</si>
  <si>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</si>
  <si>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</si>
  <si>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</si>
  <si>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</si>
  <si>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</si>
  <si>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</si>
  <si>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</si>
  <si>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</si>
  <si>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</si>
  <si>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</si>
  <si>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</si>
  <si>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</si>
  <si>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</si>
  <si>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</si>
  <si>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</si>
  <si>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</si>
  <si>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</si>
  <si>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</si>
  <si>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</si>
  <si>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</si>
  <si>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</si>
  <si>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</si>
  <si>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</si>
  <si>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</si>
  <si>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</si>
  <si>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</si>
  <si>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</si>
  <si>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</si>
  <si>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</si>
  <si>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</si>
  <si>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</si>
  <si>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</si>
  <si>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</si>
  <si>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</si>
  <si>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</si>
  <si>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</si>
  <si>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</si>
  <si>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</si>
  <si>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</si>
  <si>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</si>
  <si>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</si>
  <si>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</si>
  <si>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</si>
  <si>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</si>
  <si>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</si>
  <si>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</si>
  <si>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</si>
  <si>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</si>
  <si>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</si>
  <si>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</si>
  <si>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</si>
  <si>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</si>
  <si>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</si>
  <si>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</si>
  <si>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</si>
  <si>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</si>
  <si>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</si>
  <si>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</si>
  <si>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</si>
  <si>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</si>
  <si>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</si>
  <si>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</si>
  <si>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</si>
  <si>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</si>
  <si>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</si>
  <si>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</si>
  <si>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</si>
  <si>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</si>
  <si>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</si>
  <si>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</si>
  <si>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</si>
  <si>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</si>
  <si>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</si>
  <si>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</si>
  <si>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</si>
  <si>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Q1</t>
  </si>
  <si>
    <t xml:space="preserve">How many rows are there for there wheathersit value? </t>
  </si>
  <si>
    <t>Q2</t>
  </si>
  <si>
    <t>What are the max temprature?</t>
  </si>
  <si>
    <t>Q3</t>
  </si>
  <si>
    <t>what are the min temprature?</t>
  </si>
  <si>
    <t>Q4</t>
  </si>
  <si>
    <t>What is the avg temp?</t>
  </si>
  <si>
    <t xml:space="preserve">Q5 </t>
  </si>
  <si>
    <t>How many week day are there up to 6</t>
  </si>
  <si>
    <t>Q6</t>
  </si>
  <si>
    <t xml:space="preserve">count total 6 week days </t>
  </si>
  <si>
    <t>Q7</t>
  </si>
  <si>
    <t>count total working day</t>
  </si>
  <si>
    <t>Q8</t>
  </si>
  <si>
    <t>What is the avg of week day</t>
  </si>
  <si>
    <t>Q9</t>
  </si>
  <si>
    <t>How many dates are there</t>
  </si>
  <si>
    <t>min temperature</t>
  </si>
  <si>
    <t>Max temperature</t>
  </si>
  <si>
    <t>Average temp.</t>
  </si>
  <si>
    <t xml:space="preserve">Working day </t>
  </si>
  <si>
    <t>How many total weekends</t>
  </si>
  <si>
    <t xml:space="preserve">How many rainy day count </t>
  </si>
  <si>
    <t>Atmosphere less then 0.5</t>
  </si>
  <si>
    <t>Register</t>
  </si>
  <si>
    <t>Total count</t>
  </si>
  <si>
    <t>MAX</t>
  </si>
  <si>
    <t xml:space="preserve">Casul customer </t>
  </si>
  <si>
    <t>Min</t>
  </si>
  <si>
    <t>Avg</t>
  </si>
  <si>
    <t>Total</t>
  </si>
  <si>
    <t>Humidity</t>
  </si>
  <si>
    <t>max</t>
  </si>
  <si>
    <t>min</t>
  </si>
  <si>
    <t>Windspeed</t>
  </si>
  <si>
    <t>avg</t>
  </si>
  <si>
    <t>Hour</t>
  </si>
  <si>
    <t>total</t>
  </si>
  <si>
    <t>Sum of hr</t>
  </si>
  <si>
    <t>Sum of season</t>
  </si>
  <si>
    <t>Sum of cnt</t>
  </si>
  <si>
    <t>Sum of registered</t>
  </si>
  <si>
    <t>Column Labels</t>
  </si>
  <si>
    <t>Grand Total</t>
  </si>
  <si>
    <t>Row Labels</t>
  </si>
  <si>
    <t>Sum of casual</t>
  </si>
  <si>
    <t>ANALYSIS BY TIME</t>
  </si>
  <si>
    <t>Sum of workingday</t>
  </si>
  <si>
    <t>Sum of weekday</t>
  </si>
  <si>
    <t>Weekday and Working day</t>
  </si>
  <si>
    <t>Rental by hour</t>
  </si>
  <si>
    <t xml:space="preserve">Working Days /Non working days </t>
  </si>
  <si>
    <t>Sum of weathersit</t>
  </si>
  <si>
    <t>Jan</t>
  </si>
  <si>
    <t>Feb</t>
  </si>
  <si>
    <t>Working day nd weather</t>
  </si>
  <si>
    <t>2-Jan</t>
  </si>
  <si>
    <t>4-Jan</t>
  </si>
  <si>
    <t xml:space="preserve">Data analytic dash board </t>
  </si>
  <si>
    <t xml:space="preserve">Bike sharing Analysis </t>
  </si>
  <si>
    <t>Season</t>
  </si>
  <si>
    <t>season Name</t>
  </si>
  <si>
    <t xml:space="preserve">Spring </t>
  </si>
  <si>
    <t xml:space="preserve">Summer </t>
  </si>
  <si>
    <t>Fall</t>
  </si>
  <si>
    <t>Winter</t>
  </si>
  <si>
    <t>dataset_2.instant</t>
  </si>
  <si>
    <t>dataset_2.atemp</t>
  </si>
  <si>
    <t>dataset_2.hum</t>
  </si>
  <si>
    <t>dataset_2.windspeed</t>
  </si>
  <si>
    <t>dataset_2.casual</t>
  </si>
  <si>
    <t>dataset_2.registered</t>
  </si>
  <si>
    <t>dataset_2.cnt</t>
  </si>
  <si>
    <t>Total rides</t>
  </si>
  <si>
    <t>Casual rides</t>
  </si>
  <si>
    <t>Total riders vs temp.</t>
  </si>
  <si>
    <t>Temprature vs year</t>
  </si>
  <si>
    <t>Total riders by date</t>
  </si>
  <si>
    <t>Total riders vs total register</t>
  </si>
  <si>
    <t>weather sit</t>
  </si>
  <si>
    <t xml:space="preserve">weekdays </t>
  </si>
  <si>
    <t>Month</t>
  </si>
  <si>
    <t>Register riders</t>
  </si>
  <si>
    <t xml:space="preserve">Register vs total by season </t>
  </si>
  <si>
    <t xml:space="preserve">Sum of Casul customer </t>
  </si>
  <si>
    <t>Sum of Register</t>
  </si>
  <si>
    <t xml:space="preserve"> total year of 2011</t>
  </si>
  <si>
    <t>KPI ANALYSIS</t>
  </si>
  <si>
    <t>Total no of sesaon</t>
  </si>
  <si>
    <t>riders according sesason</t>
  </si>
  <si>
    <t>Sum of Total no of sesaon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</si>
</sst>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18" xfId="0" applyBorder="1"/>
    <xf numFmtId="0" fontId="0" fillId="0" borderId="19" xfId="0" applyBorder="1"/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 wrapText="1"/>
    </xf>
    <xf numFmtId="0" fontId="0" fillId="8" borderId="24" xfId="0" applyFill="1" applyBorder="1" applyAlignment="1">
      <alignment horizontal="center" vertical="center" wrapText="1"/>
    </xf>
    <xf numFmtId="0" fontId="7" fillId="0" borderId="0" xfId="0" applyFont="1"/>
    <xf numFmtId="0" fontId="3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6" borderId="0" xfId="0" applyFill="1"/>
    <xf numFmtId="0" fontId="0" fillId="0" borderId="26" xfId="0" applyBorder="1"/>
    <xf numFmtId="0" fontId="8" fillId="0" borderId="0" xfId="0" pivotButton="1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8" borderId="1" xfId="0" applyFont="1" applyFill="1" applyBorder="1"/>
    <xf numFmtId="0" fontId="8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8" borderId="25" xfId="0" applyFill="1" applyBorder="1" applyAlignment="1">
      <alignment horizontal="center" wrapText="1"/>
    </xf>
    <xf numFmtId="0" fontId="0" fillId="8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5" xfId="0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14" borderId="6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5" borderId="14" xfId="0" applyFill="1" applyBorder="1" applyAlignment="1">
      <alignment horizontal="center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8387957915517"/>
          <c:y val="7.407407407407407E-2"/>
          <c:w val="0.48474886152051505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Sum of casual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74</c:v>
              </c:pt>
              <c:pt idx="1">
                <c:v>48</c:v>
              </c:pt>
              <c:pt idx="2">
                <c:v>33</c:v>
              </c:pt>
              <c:pt idx="3">
                <c:v>34</c:v>
              </c:pt>
              <c:pt idx="4">
                <c:v>7</c:v>
              </c:pt>
              <c:pt idx="5">
                <c:v>3</c:v>
              </c:pt>
              <c:pt idx="6">
                <c:v>21</c:v>
              </c:pt>
              <c:pt idx="7">
                <c:v>64</c:v>
              </c:pt>
              <c:pt idx="8">
                <c:v>127</c:v>
              </c:pt>
              <c:pt idx="9">
                <c:v>172</c:v>
              </c:pt>
              <c:pt idx="10">
                <c:v>216</c:v>
              </c:pt>
              <c:pt idx="11">
                <c:v>367</c:v>
              </c:pt>
              <c:pt idx="12">
                <c:v>482</c:v>
              </c:pt>
              <c:pt idx="13">
                <c:v>513</c:v>
              </c:pt>
              <c:pt idx="14">
                <c:v>466</c:v>
              </c:pt>
              <c:pt idx="15">
                <c:v>536</c:v>
              </c:pt>
              <c:pt idx="16">
                <c:v>493</c:v>
              </c:pt>
              <c:pt idx="17">
                <c:v>395</c:v>
              </c:pt>
              <c:pt idx="18">
                <c:v>222</c:v>
              </c:pt>
              <c:pt idx="19">
                <c:v>187</c:v>
              </c:pt>
              <c:pt idx="20">
                <c:v>140</c:v>
              </c:pt>
              <c:pt idx="21">
                <c:v>117</c:v>
              </c:pt>
              <c:pt idx="22">
                <c:v>103</c:v>
              </c:pt>
              <c:pt idx="23">
                <c:v>101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805-4F95-BD02-E517405E91CE}"/>
            </c:ext>
          </c:extLst>
        </c:ser>
        <c:ser>
          <c:idx val="1"/>
          <c:order val="1"/>
          <c:tx>
            <c:v>Sum of cnt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703</c:v>
              </c:pt>
              <c:pt idx="1">
                <c:v>460</c:v>
              </c:pt>
              <c:pt idx="2">
                <c:v>294</c:v>
              </c:pt>
              <c:pt idx="3">
                <c:v>151</c:v>
              </c:pt>
              <c:pt idx="4">
                <c:v>69</c:v>
              </c:pt>
              <c:pt idx="5">
                <c:v>164</c:v>
              </c:pt>
              <c:pt idx="6">
                <c:v>822</c:v>
              </c:pt>
              <c:pt idx="7">
                <c:v>2339</c:v>
              </c:pt>
              <c:pt idx="8">
                <c:v>5388</c:v>
              </c:pt>
              <c:pt idx="9">
                <c:v>3672</c:v>
              </c:pt>
              <c:pt idx="10">
                <c:v>2253</c:v>
              </c:pt>
              <c:pt idx="11">
                <c:v>2494</c:v>
              </c:pt>
              <c:pt idx="12">
                <c:v>3283</c:v>
              </c:pt>
              <c:pt idx="13">
                <c:v>3376</c:v>
              </c:pt>
              <c:pt idx="14">
                <c:v>3200</c:v>
              </c:pt>
              <c:pt idx="15">
                <c:v>3352</c:v>
              </c:pt>
              <c:pt idx="16">
                <c:v>3928</c:v>
              </c:pt>
              <c:pt idx="17">
                <c:v>6169</c:v>
              </c:pt>
              <c:pt idx="18">
                <c:v>5283</c:v>
              </c:pt>
              <c:pt idx="19">
                <c:v>3661</c:v>
              </c:pt>
              <c:pt idx="20">
                <c:v>2656</c:v>
              </c:pt>
              <c:pt idx="21">
                <c:v>1996</c:v>
              </c:pt>
              <c:pt idx="22">
                <c:v>1508</c:v>
              </c:pt>
              <c:pt idx="23">
                <c:v>1083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805-4F95-BD02-E517405E91CE}"/>
            </c:ext>
          </c:extLst>
        </c:ser>
        <c:ser>
          <c:idx val="2"/>
          <c:order val="2"/>
          <c:tx>
            <c:v>Sum of registered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629</c:v>
              </c:pt>
              <c:pt idx="1">
                <c:v>412</c:v>
              </c:pt>
              <c:pt idx="2">
                <c:v>261</c:v>
              </c:pt>
              <c:pt idx="3">
                <c:v>117</c:v>
              </c:pt>
              <c:pt idx="4">
                <c:v>62</c:v>
              </c:pt>
              <c:pt idx="5">
                <c:v>161</c:v>
              </c:pt>
              <c:pt idx="6">
                <c:v>801</c:v>
              </c:pt>
              <c:pt idx="7">
                <c:v>2275</c:v>
              </c:pt>
              <c:pt idx="8">
                <c:v>5261</c:v>
              </c:pt>
              <c:pt idx="9">
                <c:v>3500</c:v>
              </c:pt>
              <c:pt idx="10">
                <c:v>2037</c:v>
              </c:pt>
              <c:pt idx="11">
                <c:v>2127</c:v>
              </c:pt>
              <c:pt idx="12">
                <c:v>2801</c:v>
              </c:pt>
              <c:pt idx="13">
                <c:v>2863</c:v>
              </c:pt>
              <c:pt idx="14">
                <c:v>2734</c:v>
              </c:pt>
              <c:pt idx="15">
                <c:v>2816</c:v>
              </c:pt>
              <c:pt idx="16">
                <c:v>3435</c:v>
              </c:pt>
              <c:pt idx="17">
                <c:v>5774</c:v>
              </c:pt>
              <c:pt idx="18">
                <c:v>5061</c:v>
              </c:pt>
              <c:pt idx="19">
                <c:v>3474</c:v>
              </c:pt>
              <c:pt idx="20">
                <c:v>2516</c:v>
              </c:pt>
              <c:pt idx="21">
                <c:v>1879</c:v>
              </c:pt>
              <c:pt idx="22">
                <c:v>1405</c:v>
              </c:pt>
              <c:pt idx="23">
                <c:v>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805-4F95-BD02-E517405E9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064832"/>
        <c:axId val="1635031600"/>
      </c:lineChart>
      <c:catAx>
        <c:axId val="17770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31600"/>
        <c:crosses val="autoZero"/>
        <c:auto val="1"/>
        <c:lblAlgn val="ctr"/>
        <c:lblOffset val="100"/>
        <c:noMultiLvlLbl val="0"/>
      </c:catAx>
      <c:valAx>
        <c:axId val="16350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 hike it final.xlsx]pivot table analysis!PivotTable2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analysis'!$B$3</c:f>
              <c:strCache>
                <c:ptCount val="1"/>
                <c:pt idx="0">
                  <c:v>Sum of workingday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analysis'!$A$4:$A$28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 analysis'!$B$4:$B$28</c:f>
              <c:numCache>
                <c:formatCode>General</c:formatCode>
                <c:ptCount val="24"/>
                <c:pt idx="0">
                  <c:v>28</c:v>
                </c:pt>
                <c:pt idx="1">
                  <c:v>28</c:v>
                </c:pt>
                <c:pt idx="2">
                  <c:v>26</c:v>
                </c:pt>
                <c:pt idx="3">
                  <c:v>16</c:v>
                </c:pt>
                <c:pt idx="4">
                  <c:v>18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B-439A-B02E-17F0D22C7AE9}"/>
            </c:ext>
          </c:extLst>
        </c:ser>
        <c:ser>
          <c:idx val="1"/>
          <c:order val="1"/>
          <c:tx>
            <c:strRef>
              <c:f>'pivot table analysis'!$C$3</c:f>
              <c:strCache>
                <c:ptCount val="1"/>
                <c:pt idx="0">
                  <c:v>Sum of weekday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analysis'!$A$4:$A$28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 analysis'!$C$4:$C$28</c:f>
              <c:numCache>
                <c:formatCode>General</c:formatCode>
                <c:ptCount val="24"/>
                <c:pt idx="0">
                  <c:v>127</c:v>
                </c:pt>
                <c:pt idx="1">
                  <c:v>127</c:v>
                </c:pt>
                <c:pt idx="2">
                  <c:v>125</c:v>
                </c:pt>
                <c:pt idx="3">
                  <c:v>90</c:v>
                </c:pt>
                <c:pt idx="4">
                  <c:v>90</c:v>
                </c:pt>
                <c:pt idx="5">
                  <c:v>115</c:v>
                </c:pt>
                <c:pt idx="6">
                  <c:v>127</c:v>
                </c:pt>
                <c:pt idx="7">
                  <c:v>127</c:v>
                </c:pt>
                <c:pt idx="8">
                  <c:v>126</c:v>
                </c:pt>
                <c:pt idx="9">
                  <c:v>126</c:v>
                </c:pt>
                <c:pt idx="10">
                  <c:v>126</c:v>
                </c:pt>
                <c:pt idx="11">
                  <c:v>126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132</c:v>
                </c:pt>
                <c:pt idx="17">
                  <c:v>132</c:v>
                </c:pt>
                <c:pt idx="18">
                  <c:v>129</c:v>
                </c:pt>
                <c:pt idx="19">
                  <c:v>129</c:v>
                </c:pt>
                <c:pt idx="20">
                  <c:v>129</c:v>
                </c:pt>
                <c:pt idx="21">
                  <c:v>129</c:v>
                </c:pt>
                <c:pt idx="22">
                  <c:v>129</c:v>
                </c:pt>
                <c:pt idx="23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B-439A-B02E-17F0D22C7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100096"/>
        <c:axId val="1635030640"/>
      </c:lineChart>
      <c:catAx>
        <c:axId val="17771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30640"/>
        <c:crosses val="autoZero"/>
        <c:auto val="1"/>
        <c:lblAlgn val="ctr"/>
        <c:lblOffset val="100"/>
        <c:noMultiLvlLbl val="0"/>
      </c:catAx>
      <c:valAx>
        <c:axId val="16350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40740740740744"/>
          <c:y val="0.38418963254593175"/>
          <c:w val="0.33333333333333331"/>
          <c:h val="0.3242129629629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14050</c:v>
              </c:pt>
              <c:pt idx="1">
                <c:v>39333</c:v>
              </c:pt>
            </c:numLit>
          </c:val>
          <c:extLst>
            <c:ext xmlns:c16="http://schemas.microsoft.com/office/drawing/2014/chart" uri="{C3380CC4-5D6E-409C-BE32-E72D297353CC}">
              <c16:uniqueId val="{00000000-E54F-4719-AE88-DDB9991FCF74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16869</c:v>
              </c:pt>
              <c:pt idx="1">
                <c:v>41435</c:v>
              </c:pt>
            </c:numLit>
          </c:val>
          <c:extLst>
            <c:ext xmlns:c16="http://schemas.microsoft.com/office/drawing/2014/chart" uri="{C3380CC4-5D6E-409C-BE32-E72D297353CC}">
              <c16:uniqueId val="{00000001-E54F-4719-AE88-DDB9991FCF74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2819</c:v>
              </c:pt>
              <c:pt idx="1">
                <c:v>2102</c:v>
              </c:pt>
            </c:numLit>
          </c:val>
          <c:extLst>
            <c:ext xmlns:c16="http://schemas.microsoft.com/office/drawing/2014/chart" uri="{C3380CC4-5D6E-409C-BE32-E72D297353CC}">
              <c16:uniqueId val="{00000002-E54F-4719-AE88-DDB9991FC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052768"/>
        <c:axId val="1635050800"/>
      </c:barChart>
      <c:catAx>
        <c:axId val="17770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50800"/>
        <c:crosses val="autoZero"/>
        <c:auto val="1"/>
        <c:lblAlgn val="ctr"/>
        <c:lblOffset val="100"/>
        <c:noMultiLvlLbl val="0"/>
      </c:catAx>
      <c:valAx>
        <c:axId val="16350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5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379</c:v>
              </c:pt>
              <c:pt idx="1">
                <c:v>138</c:v>
              </c:pt>
            </c:numLit>
          </c:val>
          <c:extLst>
            <c:ext xmlns:c16="http://schemas.microsoft.com/office/drawing/2014/chart" uri="{C3380CC4-5D6E-409C-BE32-E72D297353CC}">
              <c16:uniqueId val="{00000000-9B13-4D3D-A448-6E1609797997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634</c:v>
              </c:pt>
              <c:pt idx="1">
                <c:v>328</c:v>
              </c:pt>
            </c:numLit>
          </c:val>
          <c:extLst>
            <c:ext xmlns:c16="http://schemas.microsoft.com/office/drawing/2014/chart" uri="{C3380CC4-5D6E-409C-BE32-E72D297353CC}">
              <c16:uniqueId val="{00000001-9B13-4D3D-A448-6E1609797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110304"/>
        <c:axId val="256196783"/>
      </c:barChart>
      <c:catAx>
        <c:axId val="17771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96783"/>
        <c:crosses val="autoZero"/>
        <c:auto val="1"/>
        <c:lblAlgn val="ctr"/>
        <c:lblOffset val="100"/>
        <c:noMultiLvlLbl val="0"/>
      </c:catAx>
      <c:valAx>
        <c:axId val="2561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1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 hike it final.xlsx]pivot table analysis!PivotTable4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72057173834865"/>
          <c:y val="0.1376316646550568"/>
          <c:w val="0.61962226596675418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analysis'!$J$17</c:f>
              <c:strCache>
                <c:ptCount val="1"/>
                <c:pt idx="0">
                  <c:v>Sum of 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analysis'!$J$18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analysis'!$J$18</c:f>
              <c:numCache>
                <c:formatCode>General</c:formatCode>
                <c:ptCount val="1"/>
                <c:pt idx="0">
                  <c:v>11753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1-4FD4-9553-72275A2C2DAE}"/>
            </c:ext>
          </c:extLst>
        </c:ser>
        <c:ser>
          <c:idx val="1"/>
          <c:order val="1"/>
          <c:tx>
            <c:strRef>
              <c:f>'pivot table analysis'!$K$17</c:f>
              <c:strCache>
                <c:ptCount val="1"/>
                <c:pt idx="0">
                  <c:v>Sum of season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analysis'!$J$18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analysis'!$K$18</c:f>
              <c:numCache>
                <c:formatCode>General</c:formatCode>
                <c:ptCount val="1"/>
                <c:pt idx="0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1-4FD4-9553-72275A2C2DAE}"/>
            </c:ext>
          </c:extLst>
        </c:ser>
        <c:ser>
          <c:idx val="2"/>
          <c:order val="2"/>
          <c:tx>
            <c:strRef>
              <c:f>'pivot table analysis'!$L$17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analysis'!$J$18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analysis'!$L$18</c:f>
              <c:numCache>
                <c:formatCode>General</c:formatCode>
                <c:ptCount val="1"/>
                <c:pt idx="0">
                  <c:v>53383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91-4FD4-9553-72275A2C2DAE}"/>
            </c:ext>
          </c:extLst>
        </c:ser>
        <c:ser>
          <c:idx val="3"/>
          <c:order val="3"/>
          <c:tx>
            <c:strRef>
              <c:f>'pivot table analysis'!$M$17</c:f>
              <c:strCache>
                <c:ptCount val="1"/>
                <c:pt idx="0">
                  <c:v>Sum of cnt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analysis'!$J$18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analysis'!$M$18</c:f>
              <c:numCache>
                <c:formatCode>General</c:formatCode>
                <c:ptCount val="1"/>
                <c:pt idx="0">
                  <c:v>58304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91-4FD4-9553-72275A2C2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705087"/>
        <c:axId val="1668307215"/>
      </c:barChart>
      <c:catAx>
        <c:axId val="188370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307215"/>
        <c:crosses val="autoZero"/>
        <c:auto val="1"/>
        <c:lblAlgn val="ctr"/>
        <c:lblOffset val="100"/>
        <c:noMultiLvlLbl val="0"/>
      </c:catAx>
      <c:valAx>
        <c:axId val="16683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0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5403872062005"/>
          <c:y val="0.35223097112860891"/>
          <c:w val="0.28045961279379955"/>
          <c:h val="0.41618467782851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[Next hike it final.xlsx]pivot table analysis!PivotTable9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analysis'!$O$4:$O$6</c:f>
              <c:strCache>
                <c:ptCount val="2"/>
                <c:pt idx="0">
                  <c:v>2-Jan</c:v>
                </c:pt>
                <c:pt idx="1">
                  <c:v>4-Jan</c:v>
                </c:pt>
              </c:strCache>
            </c:strRef>
          </c:cat>
          <c:val>
            <c:numRef>
              <c:f>'pivot table analysis'!$P$4:$P$6</c:f>
              <c:numCache>
                <c:formatCode>General</c:formatCode>
                <c:ptCount val="2"/>
                <c:pt idx="0">
                  <c:v>801</c:v>
                </c:pt>
                <c:pt idx="1">
                  <c:v>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2-4247-9D84-690F673F5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74623"/>
        <c:axId val="256175663"/>
      </c:barChart>
      <c:catAx>
        <c:axId val="2727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5663"/>
        <c:crosses val="autoZero"/>
        <c:auto val="1"/>
        <c:lblAlgn val="ctr"/>
        <c:lblOffset val="100"/>
        <c:noMultiLvlLbl val="0"/>
      </c:catAx>
      <c:valAx>
        <c:axId val="25617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casual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9E-48C1-BD96-CE0B4F3D71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9E-48C1-BD96-CE0B4F3D71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9E-48C1-BD96-CE0B4F3D71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9E-48C1-BD96-CE0B4F3D71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9E-48C1-BD96-CE0B4F3D71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9E-48C1-BD96-CE0B4F3D71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9E-48C1-BD96-CE0B4F3D71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9E-48C1-BD96-CE0B4F3D71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9E-48C1-BD96-CE0B4F3D71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E9E-48C1-BD96-CE0B4F3D71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E9E-48C1-BD96-CE0B4F3D71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E9E-48C1-BD96-CE0B4F3D71A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E9E-48C1-BD96-CE0B4F3D71A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E9E-48C1-BD96-CE0B4F3D71A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E9E-48C1-BD96-CE0B4F3D71A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E9E-48C1-BD96-CE0B4F3D71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E9E-48C1-BD96-CE0B4F3D71A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E9E-48C1-BD96-CE0B4F3D71A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E9E-48C1-BD96-CE0B4F3D71A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E9E-48C1-BD96-CE0B4F3D71A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E9E-48C1-BD96-CE0B4F3D71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E9E-48C1-BD96-CE0B4F3D71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E9E-48C1-BD96-CE0B4F3D71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E9E-48C1-BD96-CE0B4F3D71A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E9E-48C1-BD96-CE0B4F3D71A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E9E-48C1-BD96-CE0B4F3D71A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E9E-48C1-BD96-CE0B4F3D71A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E9E-48C1-BD96-CE0B4F3D71A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E9E-48C1-BD96-CE0B4F3D71A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E9E-48C1-BD96-CE0B4F3D71A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E9E-48C1-BD96-CE0B4F3D71A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E9E-48C1-BD96-CE0B4F3D71A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E9E-48C1-BD96-CE0B4F3D71A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E9E-48C1-BD96-CE0B4F3D71A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E9E-48C1-BD96-CE0B4F3D71A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E9E-48C1-BD96-CE0B4F3D71A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E9E-48C1-BD96-CE0B4F3D71A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E9E-48C1-BD96-CE0B4F3D71A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E9E-48C1-BD96-CE0B4F3D71A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E9E-48C1-BD96-CE0B4F3D71A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1E9E-48C1-BD96-CE0B4F3D71A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1E9E-48C1-BD96-CE0B4F3D71A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E9E-48C1-BD96-CE0B4F3D71A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1E9E-48C1-BD96-CE0B4F3D71A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E9E-48C1-BD96-CE0B4F3D71A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E9E-48C1-BD96-CE0B4F3D71A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E9E-48C1-BD96-CE0B4F3D71A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E9E-48C1-BD96-CE0B4F3D71A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E9E-48C1-BD96-CE0B4F3D71A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E9E-48C1-BD96-CE0B4F3D71A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1E9E-48C1-BD96-CE0B4F3D71A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1E9E-48C1-BD96-CE0B4F3D71A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1E9E-48C1-BD96-CE0B4F3D71A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1E9E-48C1-BD96-CE0B4F3D71A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1E9E-48C1-BD96-CE0B4F3D71A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1E9E-48C1-BD96-CE0B4F3D71A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1E9E-48C1-BD96-CE0B4F3D71A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1E9E-48C1-BD96-CE0B4F3D71A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1E9E-48C1-BD96-CE0B4F3D71A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1E9E-48C1-BD96-CE0B4F3D71A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1E9E-48C1-BD96-CE0B4F3D71A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1E9E-48C1-BD96-CE0B4F3D71A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1E9E-48C1-BD96-CE0B4F3D71A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1E9E-48C1-BD96-CE0B4F3D71A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1E9E-48C1-BD96-CE0B4F3D71A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1E9E-48C1-BD96-CE0B4F3D71A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1E9E-48C1-BD96-CE0B4F3D71A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1E9E-48C1-BD96-CE0B4F3D71A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1E9E-48C1-BD96-CE0B4F3D71A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1E9E-48C1-BD96-CE0B4F3D71A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1E9E-48C1-BD96-CE0B4F3D71A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1E9E-48C1-BD96-CE0B4F3D71A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1E9E-48C1-BD96-CE0B4F3D71A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1E9E-48C1-BD96-CE0B4F3D71A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1E9E-48C1-BD96-CE0B4F3D71A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1E9E-48C1-BD96-CE0B4F3D71A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1E9E-48C1-BD96-CE0B4F3D71A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1E9E-48C1-BD96-CE0B4F3D71A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1E9E-48C1-BD96-CE0B4F3D71A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1E9E-48C1-BD96-CE0B4F3D71A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1E9E-48C1-BD96-CE0B4F3D71A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1E9E-48C1-BD96-CE0B4F3D71A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1E9E-48C1-BD96-CE0B4F3D71A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1E9E-48C1-BD96-CE0B4F3D71A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1E9E-48C1-BD96-CE0B4F3D71A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1E9E-48C1-BD96-CE0B4F3D71A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1E9E-48C1-BD96-CE0B4F3D71A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1E9E-48C1-BD96-CE0B4F3D71A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1E9E-48C1-BD96-CE0B4F3D71A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1E9E-48C1-BD96-CE0B4F3D71A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1E9E-48C1-BD96-CE0B4F3D71A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1E9E-48C1-BD96-CE0B4F3D71A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1E9E-48C1-BD96-CE0B4F3D71A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1E9E-48C1-BD96-CE0B4F3D71A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1E9E-48C1-BD96-CE0B4F3D71A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1E9E-48C1-BD96-CE0B4F3D71A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1E9E-48C1-BD96-CE0B4F3D71A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1E9E-48C1-BD96-CE0B4F3D71A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1E9E-48C1-BD96-CE0B4F3D71A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1E9E-48C1-BD96-CE0B4F3D71A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1E9E-48C1-BD96-CE0B4F3D71A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1E9E-48C1-BD96-CE0B4F3D71A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1E9E-48C1-BD96-CE0B4F3D71A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1E9E-48C1-BD96-CE0B4F3D71A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1E9E-48C1-BD96-CE0B4F3D71A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1E9E-48C1-BD96-CE0B4F3D71A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1E9E-48C1-BD96-CE0B4F3D71A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1E9E-48C1-BD96-CE0B4F3D71A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1E9E-48C1-BD96-CE0B4F3D71A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1E9E-48C1-BD96-CE0B4F3D71A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1E9E-48C1-BD96-CE0B4F3D71A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1E9E-48C1-BD96-CE0B4F3D71A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1E9E-48C1-BD96-CE0B4F3D71A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1E9E-48C1-BD96-CE0B4F3D71A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1E9E-48C1-BD96-CE0B4F3D71A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1E9E-48C1-BD96-CE0B4F3D71A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1E9E-48C1-BD96-CE0B4F3D71A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1E9E-48C1-BD96-CE0B4F3D71A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1E9E-48C1-BD96-CE0B4F3D71A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1E9E-48C1-BD96-CE0B4F3D71A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1E9E-48C1-BD96-CE0B4F3D71A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1E9E-48C1-BD96-CE0B4F3D71A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1E9E-48C1-BD96-CE0B4F3D71A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1E9E-48C1-BD96-CE0B4F3D71A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1E9E-48C1-BD96-CE0B4F3D71A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1E9E-48C1-BD96-CE0B4F3D71A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1E9E-48C1-BD96-CE0B4F3D71A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1E9E-48C1-BD96-CE0B4F3D71A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1E9E-48C1-BD96-CE0B4F3D71A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1E9E-48C1-BD96-CE0B4F3D71A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1E9E-48C1-BD96-CE0B4F3D71A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1E9E-48C1-BD96-CE0B4F3D71A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1E9E-48C1-BD96-CE0B4F3D71A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1E9E-48C1-BD96-CE0B4F3D71A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1E9E-48C1-BD96-CE0B4F3D71A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1E9E-48C1-BD96-CE0B4F3D71A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1E9E-48C1-BD96-CE0B4F3D71A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1E9E-48C1-BD96-CE0B4F3D71A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1E9E-48C1-BD96-CE0B4F3D71A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1E9E-48C1-BD96-CE0B4F3D71A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1E9E-48C1-BD96-CE0B4F3D71A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1E9E-48C1-BD96-CE0B4F3D71A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1E9E-48C1-BD96-CE0B4F3D71A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1E9E-48C1-BD96-CE0B4F3D71A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1E9E-48C1-BD96-CE0B4F3D71A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1E9E-48C1-BD96-CE0B4F3D71A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1E9E-48C1-BD96-CE0B4F3D71A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1E9E-48C1-BD96-CE0B4F3D71A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1E9E-48C1-BD96-CE0B4F3D71A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1E9E-48C1-BD96-CE0B4F3D71A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1E9E-48C1-BD96-CE0B4F3D71A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1E9E-48C1-BD96-CE0B4F3D71A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1E9E-48C1-BD96-CE0B4F3D71A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1E9E-48C1-BD96-CE0B4F3D71A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1E9E-48C1-BD96-CE0B4F3D71A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1E9E-48C1-BD96-CE0B4F3D71A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1E9E-48C1-BD96-CE0B4F3D71A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1E9E-48C1-BD96-CE0B4F3D71A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1E9E-48C1-BD96-CE0B4F3D71A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1E9E-48C1-BD96-CE0B4F3D71A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1E9E-48C1-BD96-CE0B4F3D71A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1E9E-48C1-BD96-CE0B4F3D71A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1E9E-48C1-BD96-CE0B4F3D71A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1E9E-48C1-BD96-CE0B4F3D71A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1E9E-48C1-BD96-CE0B4F3D71A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1E9E-48C1-BD96-CE0B4F3D71A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1E9E-48C1-BD96-CE0B4F3D71A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1E9E-48C1-BD96-CE0B4F3D71A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1E9E-48C1-BD96-CE0B4F3D71A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1E9E-48C1-BD96-CE0B4F3D71A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1E9E-48C1-BD96-CE0B4F3D71A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1E9E-48C1-BD96-CE0B4F3D71A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1E9E-48C1-BD96-CE0B4F3D71A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1E9E-48C1-BD96-CE0B4F3D71A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1E9E-48C1-BD96-CE0B4F3D71A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1E9E-48C1-BD96-CE0B4F3D71A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1E9E-48C1-BD96-CE0B4F3D71A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1E9E-48C1-BD96-CE0B4F3D71A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1E9E-48C1-BD96-CE0B4F3D71A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1E9E-48C1-BD96-CE0B4F3D71A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1E9E-48C1-BD96-CE0B4F3D71A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1E9E-48C1-BD96-CE0B4F3D71A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1E9E-48C1-BD96-CE0B4F3D71A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1E9E-48C1-BD96-CE0B4F3D71A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1E9E-48C1-BD96-CE0B4F3D71A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1E9E-48C1-BD96-CE0B4F3D71A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1E9E-48C1-BD96-CE0B4F3D71A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1E9E-48C1-BD96-CE0B4F3D71A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1E9E-48C1-BD96-CE0B4F3D71A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1E9E-48C1-BD96-CE0B4F3D71A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1E9E-48C1-BD96-CE0B4F3D71A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1E9E-48C1-BD96-CE0B4F3D71A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1E9E-48C1-BD96-CE0B4F3D71A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1E9E-48C1-BD96-CE0B4F3D71A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1E9E-48C1-BD96-CE0B4F3D71A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1E9E-48C1-BD96-CE0B4F3D71A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1E9E-48C1-BD96-CE0B4F3D71A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1E9E-48C1-BD96-CE0B4F3D71A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1E9E-48C1-BD96-CE0B4F3D71A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1E9E-48C1-BD96-CE0B4F3D71A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1E9E-48C1-BD96-CE0B4F3D71A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1E9E-48C1-BD96-CE0B4F3D71A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1E9E-48C1-BD96-CE0B4F3D71A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1E9E-48C1-BD96-CE0B4F3D71A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1E9E-48C1-BD96-CE0B4F3D71A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1E9E-48C1-BD96-CE0B4F3D71A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1E9E-48C1-BD96-CE0B4F3D71A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1E9E-48C1-BD96-CE0B4F3D71A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1E9E-48C1-BD96-CE0B4F3D71A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1E9E-48C1-BD96-CE0B4F3D71A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1E9E-48C1-BD96-CE0B4F3D71A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1E9E-48C1-BD96-CE0B4F3D71A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1E9E-48C1-BD96-CE0B4F3D71A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1E9E-48C1-BD96-CE0B4F3D71A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1E9E-48C1-BD96-CE0B4F3D71A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1E9E-48C1-BD96-CE0B4F3D71A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1E9E-48C1-BD96-CE0B4F3D71A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1E9E-48C1-BD96-CE0B4F3D71A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1E9E-48C1-BD96-CE0B4F3D71A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1E9E-48C1-BD96-CE0B4F3D71A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1E9E-48C1-BD96-CE0B4F3D71A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1E9E-48C1-BD96-CE0B4F3D71A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1E9E-48C1-BD96-CE0B4F3D71A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1E9E-48C1-BD96-CE0B4F3D71A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1E9E-48C1-BD96-CE0B4F3D71A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1E9E-48C1-BD96-CE0B4F3D71A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1E9E-48C1-BD96-CE0B4F3D71A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1E9E-48C1-BD96-CE0B4F3D71A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1E9E-48C1-BD96-CE0B4F3D71A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1E9E-48C1-BD96-CE0B4F3D71A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1E9E-48C1-BD96-CE0B4F3D71A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1E9E-48C1-BD96-CE0B4F3D71A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1E9E-48C1-BD96-CE0B4F3D71A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1E9E-48C1-BD96-CE0B4F3D71A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1E9E-48C1-BD96-CE0B4F3D71A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1E9E-48C1-BD96-CE0B4F3D71A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1E9E-48C1-BD96-CE0B4F3D71A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1E9E-48C1-BD96-CE0B4F3D71A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1E9E-48C1-BD96-CE0B4F3D71A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1E9E-48C1-BD96-CE0B4F3D71A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1E9E-48C1-BD96-CE0B4F3D71A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1E9E-48C1-BD96-CE0B4F3D71A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1E9E-48C1-BD96-CE0B4F3D71A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1E9E-48C1-BD96-CE0B4F3D71A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1E9E-48C1-BD96-CE0B4F3D71A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1E9E-48C1-BD96-CE0B4F3D71A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1E9E-48C1-BD96-CE0B4F3D71AE}"/>
              </c:ext>
            </c:extLst>
          </c:dPt>
          <c:cat>
            <c:strLit>
              <c:ptCount val="247"/>
              <c:pt idx="0">
                <c:v>0.21 0.2</c:v>
              </c:pt>
              <c:pt idx="1">
                <c:v>0.21 0.32</c:v>
              </c:pt>
              <c:pt idx="2">
                <c:v>0.24 0.3</c:v>
              </c:pt>
              <c:pt idx="3">
                <c:v>0.25 0.2</c:v>
              </c:pt>
              <c:pt idx="4">
                <c:v>0.26 0.14</c:v>
              </c:pt>
              <c:pt idx="5">
                <c:v>0.26 0.16</c:v>
              </c:pt>
              <c:pt idx="6">
                <c:v>0.26 0.18</c:v>
              </c:pt>
              <c:pt idx="7">
                <c:v>0.26 0.3</c:v>
              </c:pt>
              <c:pt idx="8">
                <c:v>0.27 0.2</c:v>
              </c:pt>
              <c:pt idx="9">
                <c:v>0.27 0.22</c:v>
              </c:pt>
              <c:pt idx="10">
                <c:v>0.28 0.12</c:v>
              </c:pt>
              <c:pt idx="11">
                <c:v>0.28 0.14</c:v>
              </c:pt>
              <c:pt idx="12">
                <c:v>0.28 0.16</c:v>
              </c:pt>
              <c:pt idx="13">
                <c:v>0.28 0.28</c:v>
              </c:pt>
              <c:pt idx="14">
                <c:v>0.28 0.3</c:v>
              </c:pt>
              <c:pt idx="15">
                <c:v>0.28 0.42</c:v>
              </c:pt>
              <c:pt idx="16">
                <c:v>0.29 0.18</c:v>
              </c:pt>
              <c:pt idx="17">
                <c:v>0.29 0.34</c:v>
              </c:pt>
              <c:pt idx="18">
                <c:v>0.29 0.38</c:v>
              </c:pt>
              <c:pt idx="19">
                <c:v>0.3 0.12</c:v>
              </c:pt>
              <c:pt idx="20">
                <c:v>0.3 0.24</c:v>
              </c:pt>
              <c:pt idx="21">
                <c:v>0.3 0.26</c:v>
              </c:pt>
              <c:pt idx="22">
                <c:v>0.3 0.28</c:v>
              </c:pt>
              <c:pt idx="23">
                <c:v>0.3 0.4</c:v>
              </c:pt>
              <c:pt idx="24">
                <c:v>0.31 0.14</c:v>
              </c:pt>
              <c:pt idx="25">
                <c:v>0.31 0.32</c:v>
              </c:pt>
              <c:pt idx="26">
                <c:v>0.31 0.34</c:v>
              </c:pt>
              <c:pt idx="27">
                <c:v>0.32 0.2</c:v>
              </c:pt>
              <c:pt idx="28">
                <c:v>0.32 0.22</c:v>
              </c:pt>
              <c:pt idx="29">
                <c:v>0.32 0.24</c:v>
              </c:pt>
              <c:pt idx="30">
                <c:v>0.32 0.36</c:v>
              </c:pt>
              <c:pt idx="31">
                <c:v>0.32 0.4</c:v>
              </c:pt>
              <c:pt idx="32">
                <c:v>0.33 0.1</c:v>
              </c:pt>
              <c:pt idx="33">
                <c:v>0.33 0.12</c:v>
              </c:pt>
              <c:pt idx="34">
                <c:v>0.33 0.14</c:v>
              </c:pt>
              <c:pt idx="35">
                <c:v>0.33 0.26</c:v>
              </c:pt>
              <c:pt idx="36">
                <c:v>0.34 0.16</c:v>
              </c:pt>
              <c:pt idx="37">
                <c:v>0.34 0.2</c:v>
              </c:pt>
              <c:pt idx="38">
                <c:v>0.34 0.34</c:v>
              </c:pt>
              <c:pt idx="39">
                <c:v>0.35 0.08</c:v>
              </c:pt>
              <c:pt idx="40">
                <c:v>0.35 0.22</c:v>
              </c:pt>
              <c:pt idx="41">
                <c:v>0.35 0.24</c:v>
              </c:pt>
              <c:pt idx="42">
                <c:v>0.35 0.26</c:v>
              </c:pt>
              <c:pt idx="43">
                <c:v>0.35 0.4</c:v>
              </c:pt>
              <c:pt idx="44">
                <c:v>0.36 0.1</c:v>
              </c:pt>
              <c:pt idx="45">
                <c:v>0.36 0.12</c:v>
              </c:pt>
              <c:pt idx="46">
                <c:v>0.36 0.14</c:v>
              </c:pt>
              <c:pt idx="47">
                <c:v>0.36 0.28</c:v>
              </c:pt>
              <c:pt idx="48">
                <c:v>0.36 0.32</c:v>
              </c:pt>
              <c:pt idx="49">
                <c:v>0.37 0.16</c:v>
              </c:pt>
              <c:pt idx="50">
                <c:v>0.37 0.18</c:v>
              </c:pt>
              <c:pt idx="51">
                <c:v>0.37 0.2</c:v>
              </c:pt>
              <c:pt idx="52">
                <c:v>0.37 0.22</c:v>
              </c:pt>
              <c:pt idx="53">
                <c:v>0.37 0.38</c:v>
              </c:pt>
              <c:pt idx="54">
                <c:v>0.38 0.06</c:v>
              </c:pt>
              <c:pt idx="55">
                <c:v>0.38 0.08</c:v>
              </c:pt>
              <c:pt idx="56">
                <c:v>0.38 0.24</c:v>
              </c:pt>
              <c:pt idx="57">
                <c:v>0.38 0.26</c:v>
              </c:pt>
              <c:pt idx="58">
                <c:v>0.38 0.28</c:v>
              </c:pt>
              <c:pt idx="59">
                <c:v>0.39 0.1</c:v>
              </c:pt>
              <c:pt idx="60">
                <c:v>0.39 0.12</c:v>
              </c:pt>
              <c:pt idx="61">
                <c:v>0.39 0.14</c:v>
              </c:pt>
              <c:pt idx="62">
                <c:v>0.39 0.3</c:v>
              </c:pt>
              <c:pt idx="63">
                <c:v>0.39 0.32</c:v>
              </c:pt>
              <c:pt idx="64">
                <c:v>0.4 0.16</c:v>
              </c:pt>
              <c:pt idx="65">
                <c:v>0.4 0.18</c:v>
              </c:pt>
              <c:pt idx="66">
                <c:v>0.4 0.2</c:v>
              </c:pt>
              <c:pt idx="67">
                <c:v>0.4 0.36</c:v>
              </c:pt>
              <c:pt idx="68">
                <c:v>0.41 0.04</c:v>
              </c:pt>
              <c:pt idx="69">
                <c:v>0.41 0.06</c:v>
              </c:pt>
              <c:pt idx="70">
                <c:v>0.41 0.22</c:v>
              </c:pt>
              <c:pt idx="71">
                <c:v>0.41 0.24</c:v>
              </c:pt>
              <c:pt idx="72">
                <c:v>0.41 0.26</c:v>
              </c:pt>
              <c:pt idx="73">
                <c:v>0.42 0.1</c:v>
              </c:pt>
              <c:pt idx="74">
                <c:v>0.42 0.12</c:v>
              </c:pt>
              <c:pt idx="75">
                <c:v>0.42 0.3</c:v>
              </c:pt>
              <c:pt idx="76">
                <c:v>0.42 0.32</c:v>
              </c:pt>
              <c:pt idx="77">
                <c:v>0.42 0.34</c:v>
              </c:pt>
              <c:pt idx="78">
                <c:v>0.43 0.14</c:v>
              </c:pt>
              <c:pt idx="79">
                <c:v>0.43 0.16</c:v>
              </c:pt>
              <c:pt idx="80">
                <c:v>0.43 0.18</c:v>
              </c:pt>
              <c:pt idx="81">
                <c:v>0.44 0.02</c:v>
              </c:pt>
              <c:pt idx="82">
                <c:v>0.44 0.2</c:v>
              </c:pt>
              <c:pt idx="83">
                <c:v>0.44 0.22</c:v>
              </c:pt>
              <c:pt idx="84">
                <c:v>0.44 0.24</c:v>
              </c:pt>
              <c:pt idx="85">
                <c:v>0.44 0.26</c:v>
              </c:pt>
              <c:pt idx="86">
                <c:v>0.45 0.04</c:v>
              </c:pt>
              <c:pt idx="87">
                <c:v>0.45 0.06</c:v>
              </c:pt>
              <c:pt idx="88">
                <c:v>0.45 0.28</c:v>
              </c:pt>
              <c:pt idx="89">
                <c:v>0.45 0.3</c:v>
              </c:pt>
              <c:pt idx="90">
                <c:v>0.45 0.32</c:v>
              </c:pt>
              <c:pt idx="91">
                <c:v>0.46 0.1</c:v>
              </c:pt>
              <c:pt idx="92">
                <c:v>0.46 0.12</c:v>
              </c:pt>
              <c:pt idx="93">
                <c:v>0.46 0.14</c:v>
              </c:pt>
              <c:pt idx="94">
                <c:v>0.46 0.34</c:v>
              </c:pt>
              <c:pt idx="95">
                <c:v>0.46 0.36</c:v>
              </c:pt>
              <c:pt idx="96">
                <c:v>0.47 0.16</c:v>
              </c:pt>
              <c:pt idx="97">
                <c:v>0.47 0.18</c:v>
              </c:pt>
              <c:pt idx="98">
                <c:v>0.47 0.2</c:v>
              </c:pt>
              <c:pt idx="99">
                <c:v>0.47 0.22</c:v>
              </c:pt>
              <c:pt idx="100">
                <c:v>0.48 0.02</c:v>
              </c:pt>
              <c:pt idx="101">
                <c:v>0.48 0.24</c:v>
              </c:pt>
              <c:pt idx="102">
                <c:v>0.48 0.26</c:v>
              </c:pt>
              <c:pt idx="103">
                <c:v>0.48 0.28</c:v>
              </c:pt>
              <c:pt idx="104">
                <c:v>0.49 0.04</c:v>
              </c:pt>
              <c:pt idx="105">
                <c:v>0.49 0.06</c:v>
              </c:pt>
              <c:pt idx="106">
                <c:v>0.49 0.1</c:v>
              </c:pt>
              <c:pt idx="107">
                <c:v>0.49 0.2</c:v>
              </c:pt>
              <c:pt idx="108">
                <c:v>0.49 0.3</c:v>
              </c:pt>
              <c:pt idx="109">
                <c:v>0.49 0.32</c:v>
              </c:pt>
              <c:pt idx="110">
                <c:v>0.49 0.34</c:v>
              </c:pt>
              <c:pt idx="111">
                <c:v>0.5 0.1</c:v>
              </c:pt>
              <c:pt idx="112">
                <c:v>0.5 0.12</c:v>
              </c:pt>
              <c:pt idx="113">
                <c:v>0.5 0.14</c:v>
              </c:pt>
              <c:pt idx="114">
                <c:v>0.5 0.16</c:v>
              </c:pt>
              <c:pt idx="115">
                <c:v>0.5 0.26</c:v>
              </c:pt>
              <c:pt idx="116">
                <c:v>0.51 0.18</c:v>
              </c:pt>
              <c:pt idx="117">
                <c:v>0.51 0.2</c:v>
              </c:pt>
              <c:pt idx="118">
                <c:v>0.51 0.22</c:v>
              </c:pt>
              <c:pt idx="119">
                <c:v>0.52 0.24</c:v>
              </c:pt>
              <c:pt idx="120">
                <c:v>0.52 0.26</c:v>
              </c:pt>
              <c:pt idx="121">
                <c:v>0.52 0.28</c:v>
              </c:pt>
              <c:pt idx="122">
                <c:v>0.52 0.3</c:v>
              </c:pt>
              <c:pt idx="123">
                <c:v>0.53 0.08</c:v>
              </c:pt>
              <c:pt idx="124">
                <c:v>0.53 0.32</c:v>
              </c:pt>
              <c:pt idx="125">
                <c:v>0.53 0.36</c:v>
              </c:pt>
              <c:pt idx="126">
                <c:v>0.54 0.1</c:v>
              </c:pt>
              <c:pt idx="127">
                <c:v>0.54 0.12</c:v>
              </c:pt>
              <c:pt idx="128">
                <c:v>0.54 0.14</c:v>
              </c:pt>
              <c:pt idx="129">
                <c:v>0.54 0.38</c:v>
              </c:pt>
              <c:pt idx="130">
                <c:v>0.54 0.4</c:v>
              </c:pt>
              <c:pt idx="131">
                <c:v>0.55 0.16</c:v>
              </c:pt>
              <c:pt idx="132">
                <c:v>0.55 0.18</c:v>
              </c:pt>
              <c:pt idx="133">
                <c:v>0.55 0.2</c:v>
              </c:pt>
              <c:pt idx="134">
                <c:v>0.55 0.22</c:v>
              </c:pt>
              <c:pt idx="135">
                <c:v>0.56 0.16</c:v>
              </c:pt>
              <c:pt idx="136">
                <c:v>0.56 0.24</c:v>
              </c:pt>
              <c:pt idx="137">
                <c:v>0.56 0.26</c:v>
              </c:pt>
              <c:pt idx="138">
                <c:v>0.56 0.28</c:v>
              </c:pt>
              <c:pt idx="139">
                <c:v>0.56 0.3</c:v>
              </c:pt>
              <c:pt idx="140">
                <c:v>0.57 0.04</c:v>
              </c:pt>
              <c:pt idx="141">
                <c:v>0.57 0.32</c:v>
              </c:pt>
              <c:pt idx="142">
                <c:v>0.57 0.34</c:v>
              </c:pt>
              <c:pt idx="143">
                <c:v>0.57 0.36</c:v>
              </c:pt>
              <c:pt idx="144">
                <c:v>0.58 0.08</c:v>
              </c:pt>
              <c:pt idx="145">
                <c:v>0.58 0.38</c:v>
              </c:pt>
              <c:pt idx="146">
                <c:v>0.58 0.4</c:v>
              </c:pt>
              <c:pt idx="147">
                <c:v>0.59 0.14</c:v>
              </c:pt>
              <c:pt idx="148">
                <c:v>0.59 0.16</c:v>
              </c:pt>
              <c:pt idx="149">
                <c:v>0.59 0.18</c:v>
              </c:pt>
              <c:pt idx="150">
                <c:v>0.59 0.2</c:v>
              </c:pt>
              <c:pt idx="151">
                <c:v>0.6 0.22</c:v>
              </c:pt>
              <c:pt idx="152">
                <c:v>0.6 0.24</c:v>
              </c:pt>
              <c:pt idx="153">
                <c:v>0.6 0.26</c:v>
              </c:pt>
              <c:pt idx="154">
                <c:v>0.61 0.28</c:v>
              </c:pt>
              <c:pt idx="155">
                <c:v>0.61 0.3</c:v>
              </c:pt>
              <c:pt idx="156">
                <c:v>0.61 0.34</c:v>
              </c:pt>
              <c:pt idx="157">
                <c:v>0.62 0.02</c:v>
              </c:pt>
              <c:pt idx="158">
                <c:v>0.62 0.06</c:v>
              </c:pt>
              <c:pt idx="159">
                <c:v>0.62 0.32</c:v>
              </c:pt>
              <c:pt idx="160">
                <c:v>0.62 0.4</c:v>
              </c:pt>
              <c:pt idx="161">
                <c:v>0.63 0.08</c:v>
              </c:pt>
              <c:pt idx="162">
                <c:v>0.63 0.14</c:v>
              </c:pt>
              <c:pt idx="163">
                <c:v>0.64 0.16</c:v>
              </c:pt>
              <c:pt idx="164">
                <c:v>0.64 0.18</c:v>
              </c:pt>
              <c:pt idx="165">
                <c:v>0.64 0.2</c:v>
              </c:pt>
              <c:pt idx="166">
                <c:v>0.64 0.22</c:v>
              </c:pt>
              <c:pt idx="167">
                <c:v>0.65 0.24</c:v>
              </c:pt>
              <c:pt idx="168">
                <c:v>0.65 0.26</c:v>
              </c:pt>
              <c:pt idx="169">
                <c:v>0.65 0.3</c:v>
              </c:pt>
              <c:pt idx="170">
                <c:v>0.66 0.34</c:v>
              </c:pt>
              <c:pt idx="171">
                <c:v>0.66 0.36</c:v>
              </c:pt>
              <c:pt idx="172">
                <c:v>0.68 0.1</c:v>
              </c:pt>
              <c:pt idx="173">
                <c:v>0.68 0.12</c:v>
              </c:pt>
              <c:pt idx="174">
                <c:v>0.69 0.14</c:v>
              </c:pt>
              <c:pt idx="175">
                <c:v>0.69 0.16</c:v>
              </c:pt>
              <c:pt idx="176">
                <c:v>0.69 0.18</c:v>
              </c:pt>
              <c:pt idx="177">
                <c:v>0.69 0.2</c:v>
              </c:pt>
              <c:pt idx="178">
                <c:v>0.69 0.22</c:v>
              </c:pt>
              <c:pt idx="179">
                <c:v>0.7 0.24</c:v>
              </c:pt>
              <c:pt idx="180">
                <c:v>0.7 0.26</c:v>
              </c:pt>
              <c:pt idx="181">
                <c:v>0.7 0.32</c:v>
              </c:pt>
              <c:pt idx="182">
                <c:v>0.71 0.34</c:v>
              </c:pt>
              <c:pt idx="183">
                <c:v>0.71 0.36</c:v>
              </c:pt>
              <c:pt idx="184">
                <c:v>0.71 0.4</c:v>
              </c:pt>
              <c:pt idx="185">
                <c:v>0.72 0.46</c:v>
              </c:pt>
              <c:pt idx="186">
                <c:v>0.73 0.08</c:v>
              </c:pt>
              <c:pt idx="187">
                <c:v>0.74 0.1</c:v>
              </c:pt>
              <c:pt idx="188">
                <c:v>0.74 0.12</c:v>
              </c:pt>
              <c:pt idx="189">
                <c:v>0.74 0.14</c:v>
              </c:pt>
              <c:pt idx="190">
                <c:v>0.74 0.16</c:v>
              </c:pt>
              <c:pt idx="191">
                <c:v>0.74 0.18</c:v>
              </c:pt>
              <c:pt idx="192">
                <c:v>0.75 0.2</c:v>
              </c:pt>
              <c:pt idx="193">
                <c:v>0.75 0.22</c:v>
              </c:pt>
              <c:pt idx="194">
                <c:v>0.75 0.24</c:v>
              </c:pt>
              <c:pt idx="195">
                <c:v>0.76 0.32</c:v>
              </c:pt>
              <c:pt idx="196">
                <c:v>0.76 0.36</c:v>
              </c:pt>
              <c:pt idx="197">
                <c:v>0.76 0.38</c:v>
              </c:pt>
              <c:pt idx="198">
                <c:v>0.76 0.4</c:v>
              </c:pt>
              <c:pt idx="199">
                <c:v>0.77 0.42</c:v>
              </c:pt>
              <c:pt idx="200">
                <c:v>0.77 0.44</c:v>
              </c:pt>
              <c:pt idx="201">
                <c:v>0.8 0.12</c:v>
              </c:pt>
              <c:pt idx="202">
                <c:v>0.8 0.14</c:v>
              </c:pt>
              <c:pt idx="203">
                <c:v>0.8 0.16</c:v>
              </c:pt>
              <c:pt idx="204">
                <c:v>0.8 0.18</c:v>
              </c:pt>
              <c:pt idx="205">
                <c:v>0.8 0.2</c:v>
              </c:pt>
              <c:pt idx="206">
                <c:v>0.8 0.22</c:v>
              </c:pt>
              <c:pt idx="207">
                <c:v>0.81 0.24</c:v>
              </c:pt>
              <c:pt idx="208">
                <c:v>0.81 0.26</c:v>
              </c:pt>
              <c:pt idx="209">
                <c:v>0.81 0.28</c:v>
              </c:pt>
              <c:pt idx="210">
                <c:v>0.81 0.3</c:v>
              </c:pt>
              <c:pt idx="211">
                <c:v>0.81 0.34</c:v>
              </c:pt>
              <c:pt idx="212">
                <c:v>0.81 0.36</c:v>
              </c:pt>
              <c:pt idx="213">
                <c:v>0.82 0.22</c:v>
              </c:pt>
              <c:pt idx="214">
                <c:v>0.82 0.38</c:v>
              </c:pt>
              <c:pt idx="215">
                <c:v>0.82 0.42</c:v>
              </c:pt>
              <c:pt idx="216">
                <c:v>0.82 0.44</c:v>
              </c:pt>
              <c:pt idx="217">
                <c:v>0.86 0.14</c:v>
              </c:pt>
              <c:pt idx="218">
                <c:v>0.86 0.16</c:v>
              </c:pt>
              <c:pt idx="219">
                <c:v>0.86 0.18</c:v>
              </c:pt>
              <c:pt idx="220">
                <c:v>0.86 0.2</c:v>
              </c:pt>
              <c:pt idx="221">
                <c:v>0.87 0.22</c:v>
              </c:pt>
              <c:pt idx="222">
                <c:v>0.87 0.28</c:v>
              </c:pt>
              <c:pt idx="223">
                <c:v>0.87 0.3</c:v>
              </c:pt>
              <c:pt idx="224">
                <c:v>0.87 0.4</c:v>
              </c:pt>
              <c:pt idx="225">
                <c:v>0.88 0.42</c:v>
              </c:pt>
              <c:pt idx="226">
                <c:v>0.88 0.46</c:v>
              </c:pt>
              <c:pt idx="227">
                <c:v>0.92 0.24</c:v>
              </c:pt>
              <c:pt idx="228">
                <c:v>0.93 0.12</c:v>
              </c:pt>
              <c:pt idx="229">
                <c:v>0.93 0.14</c:v>
              </c:pt>
              <c:pt idx="230">
                <c:v>0.93 0.16</c:v>
              </c:pt>
              <c:pt idx="231">
                <c:v>0.93 0.18</c:v>
              </c:pt>
              <c:pt idx="232">
                <c:v>0.93 0.2</c:v>
              </c:pt>
              <c:pt idx="233">
                <c:v>0.93 0.22</c:v>
              </c:pt>
              <c:pt idx="234">
                <c:v>0.93 0.24</c:v>
              </c:pt>
              <c:pt idx="235">
                <c:v>0.93 0.26</c:v>
              </c:pt>
              <c:pt idx="236">
                <c:v>0.93 0.28</c:v>
              </c:pt>
              <c:pt idx="237">
                <c:v>0.93 0.34</c:v>
              </c:pt>
              <c:pt idx="238">
                <c:v>0.94 0.4</c:v>
              </c:pt>
              <c:pt idx="239">
                <c:v>0.94 0.44</c:v>
              </c:pt>
              <c:pt idx="240">
                <c:v>0.94 0.46</c:v>
              </c:pt>
              <c:pt idx="241">
                <c:v>1 0.16</c:v>
              </c:pt>
              <c:pt idx="242">
                <c:v>1 0.2</c:v>
              </c:pt>
              <c:pt idx="243">
                <c:v>1 0.22</c:v>
              </c:pt>
              <c:pt idx="244">
                <c:v>1 0.24</c:v>
              </c:pt>
              <c:pt idx="245">
                <c:v>1 0.26</c:v>
              </c:pt>
              <c:pt idx="246">
                <c:v>1 0.42</c:v>
              </c:pt>
            </c:strLit>
          </c:cat>
          <c:val>
            <c:numLit>
              <c:formatCode>General</c:formatCode>
              <c:ptCount val="247"/>
              <c:pt idx="0">
                <c:v>8</c:v>
              </c:pt>
              <c:pt idx="1">
                <c:v>12</c:v>
              </c:pt>
              <c:pt idx="2">
                <c:v>18</c:v>
              </c:pt>
              <c:pt idx="3">
                <c:v>6</c:v>
              </c:pt>
              <c:pt idx="4">
                <c:v>5</c:v>
              </c:pt>
              <c:pt idx="5">
                <c:v>13</c:v>
              </c:pt>
              <c:pt idx="6">
                <c:v>6</c:v>
              </c:pt>
              <c:pt idx="7">
                <c:v>17</c:v>
              </c:pt>
              <c:pt idx="8">
                <c:v>10</c:v>
              </c:pt>
              <c:pt idx="9">
                <c:v>11</c:v>
              </c:pt>
              <c:pt idx="10">
                <c:v>29</c:v>
              </c:pt>
              <c:pt idx="11">
                <c:v>12</c:v>
              </c:pt>
              <c:pt idx="12">
                <c:v>33</c:v>
              </c:pt>
              <c:pt idx="13">
                <c:v>9</c:v>
              </c:pt>
              <c:pt idx="14">
                <c:v>65</c:v>
              </c:pt>
              <c:pt idx="15">
                <c:v>58</c:v>
              </c:pt>
              <c:pt idx="16">
                <c:v>11</c:v>
              </c:pt>
              <c:pt idx="17">
                <c:v>89</c:v>
              </c:pt>
              <c:pt idx="18">
                <c:v>62</c:v>
              </c:pt>
              <c:pt idx="19">
                <c:v>14</c:v>
              </c:pt>
              <c:pt idx="20">
                <c:v>11</c:v>
              </c:pt>
              <c:pt idx="21">
                <c:v>34</c:v>
              </c:pt>
              <c:pt idx="22">
                <c:v>6</c:v>
              </c:pt>
              <c:pt idx="23">
                <c:v>91</c:v>
              </c:pt>
              <c:pt idx="24">
                <c:v>4</c:v>
              </c:pt>
              <c:pt idx="25">
                <c:v>24</c:v>
              </c:pt>
              <c:pt idx="26">
                <c:v>30</c:v>
              </c:pt>
              <c:pt idx="27">
                <c:v>18</c:v>
              </c:pt>
              <c:pt idx="28">
                <c:v>12</c:v>
              </c:pt>
              <c:pt idx="29">
                <c:v>11</c:v>
              </c:pt>
              <c:pt idx="30">
                <c:v>58</c:v>
              </c:pt>
              <c:pt idx="31">
                <c:v>17</c:v>
              </c:pt>
              <c:pt idx="32">
                <c:v>12</c:v>
              </c:pt>
              <c:pt idx="33">
                <c:v>3</c:v>
              </c:pt>
              <c:pt idx="34">
                <c:v>20</c:v>
              </c:pt>
              <c:pt idx="35">
                <c:v>24</c:v>
              </c:pt>
              <c:pt idx="36">
                <c:v>4</c:v>
              </c:pt>
              <c:pt idx="37">
                <c:v>33</c:v>
              </c:pt>
              <c:pt idx="38">
                <c:v>33</c:v>
              </c:pt>
              <c:pt idx="39">
                <c:v>18</c:v>
              </c:pt>
              <c:pt idx="40">
                <c:v>28</c:v>
              </c:pt>
              <c:pt idx="41">
                <c:v>29</c:v>
              </c:pt>
              <c:pt idx="42">
                <c:v>41</c:v>
              </c:pt>
              <c:pt idx="43">
                <c:v>40</c:v>
              </c:pt>
              <c:pt idx="44">
                <c:v>9</c:v>
              </c:pt>
              <c:pt idx="45">
                <c:v>1</c:v>
              </c:pt>
              <c:pt idx="46">
                <c:v>12</c:v>
              </c:pt>
              <c:pt idx="47">
                <c:v>41</c:v>
              </c:pt>
              <c:pt idx="48">
                <c:v>50</c:v>
              </c:pt>
              <c:pt idx="49">
                <c:v>29</c:v>
              </c:pt>
              <c:pt idx="50">
                <c:v>7</c:v>
              </c:pt>
              <c:pt idx="51">
                <c:v>48</c:v>
              </c:pt>
              <c:pt idx="52">
                <c:v>69</c:v>
              </c:pt>
              <c:pt idx="53">
                <c:v>4</c:v>
              </c:pt>
              <c:pt idx="54">
                <c:v>14</c:v>
              </c:pt>
              <c:pt idx="55">
                <c:v>6</c:v>
              </c:pt>
              <c:pt idx="56">
                <c:v>52</c:v>
              </c:pt>
              <c:pt idx="57">
                <c:v>47</c:v>
              </c:pt>
              <c:pt idx="58">
                <c:v>27</c:v>
              </c:pt>
              <c:pt idx="59">
                <c:v>0</c:v>
              </c:pt>
              <c:pt idx="60">
                <c:v>10</c:v>
              </c:pt>
              <c:pt idx="61">
                <c:v>6</c:v>
              </c:pt>
              <c:pt idx="62">
                <c:v>90</c:v>
              </c:pt>
              <c:pt idx="63">
                <c:v>52</c:v>
              </c:pt>
              <c:pt idx="64">
                <c:v>17</c:v>
              </c:pt>
              <c:pt idx="65">
                <c:v>6</c:v>
              </c:pt>
              <c:pt idx="66">
                <c:v>102</c:v>
              </c:pt>
              <c:pt idx="67">
                <c:v>0</c:v>
              </c:pt>
              <c:pt idx="68">
                <c:v>10</c:v>
              </c:pt>
              <c:pt idx="69">
                <c:v>9</c:v>
              </c:pt>
              <c:pt idx="70">
                <c:v>36</c:v>
              </c:pt>
              <c:pt idx="71">
                <c:v>29</c:v>
              </c:pt>
              <c:pt idx="72">
                <c:v>10</c:v>
              </c:pt>
              <c:pt idx="73">
                <c:v>8</c:v>
              </c:pt>
              <c:pt idx="74">
                <c:v>14</c:v>
              </c:pt>
              <c:pt idx="75">
                <c:v>15</c:v>
              </c:pt>
              <c:pt idx="76">
                <c:v>36</c:v>
              </c:pt>
              <c:pt idx="77">
                <c:v>7</c:v>
              </c:pt>
              <c:pt idx="78">
                <c:v>29</c:v>
              </c:pt>
              <c:pt idx="79">
                <c:v>8</c:v>
              </c:pt>
              <c:pt idx="80">
                <c:v>38</c:v>
              </c:pt>
              <c:pt idx="81">
                <c:v>1</c:v>
              </c:pt>
              <c:pt idx="82">
                <c:v>23</c:v>
              </c:pt>
              <c:pt idx="83">
                <c:v>12</c:v>
              </c:pt>
              <c:pt idx="84">
                <c:v>29</c:v>
              </c:pt>
              <c:pt idx="85">
                <c:v>11</c:v>
              </c:pt>
              <c:pt idx="86">
                <c:v>0</c:v>
              </c:pt>
              <c:pt idx="87">
                <c:v>1</c:v>
              </c:pt>
              <c:pt idx="88">
                <c:v>35</c:v>
              </c:pt>
              <c:pt idx="89">
                <c:v>70</c:v>
              </c:pt>
              <c:pt idx="90">
                <c:v>8</c:v>
              </c:pt>
              <c:pt idx="91">
                <c:v>3</c:v>
              </c:pt>
              <c:pt idx="92">
                <c:v>0</c:v>
              </c:pt>
              <c:pt idx="93">
                <c:v>15</c:v>
              </c:pt>
              <c:pt idx="94">
                <c:v>222</c:v>
              </c:pt>
              <c:pt idx="95">
                <c:v>10</c:v>
              </c:pt>
              <c:pt idx="96">
                <c:v>27</c:v>
              </c:pt>
              <c:pt idx="97">
                <c:v>48</c:v>
              </c:pt>
              <c:pt idx="98">
                <c:v>85</c:v>
              </c:pt>
              <c:pt idx="99">
                <c:v>32</c:v>
              </c:pt>
              <c:pt idx="100">
                <c:v>5</c:v>
              </c:pt>
              <c:pt idx="101">
                <c:v>30</c:v>
              </c:pt>
              <c:pt idx="102">
                <c:v>4</c:v>
              </c:pt>
              <c:pt idx="103">
                <c:v>19</c:v>
              </c:pt>
              <c:pt idx="104">
                <c:v>6</c:v>
              </c:pt>
              <c:pt idx="105">
                <c:v>11</c:v>
              </c:pt>
              <c:pt idx="106">
                <c:v>7</c:v>
              </c:pt>
              <c:pt idx="107">
                <c:v>2</c:v>
              </c:pt>
              <c:pt idx="108">
                <c:v>38</c:v>
              </c:pt>
              <c:pt idx="109">
                <c:v>34</c:v>
              </c:pt>
              <c:pt idx="110">
                <c:v>42</c:v>
              </c:pt>
              <c:pt idx="111">
                <c:v>0</c:v>
              </c:pt>
              <c:pt idx="112">
                <c:v>10</c:v>
              </c:pt>
              <c:pt idx="113">
                <c:v>22</c:v>
              </c:pt>
              <c:pt idx="114">
                <c:v>16</c:v>
              </c:pt>
              <c:pt idx="115">
                <c:v>9</c:v>
              </c:pt>
              <c:pt idx="116">
                <c:v>28</c:v>
              </c:pt>
              <c:pt idx="117">
                <c:v>52</c:v>
              </c:pt>
              <c:pt idx="118">
                <c:v>49</c:v>
              </c:pt>
              <c:pt idx="119">
                <c:v>10</c:v>
              </c:pt>
              <c:pt idx="120">
                <c:v>9</c:v>
              </c:pt>
              <c:pt idx="121">
                <c:v>17</c:v>
              </c:pt>
              <c:pt idx="122">
                <c:v>32</c:v>
              </c:pt>
              <c:pt idx="123">
                <c:v>1</c:v>
              </c:pt>
              <c:pt idx="124">
                <c:v>0</c:v>
              </c:pt>
              <c:pt idx="125">
                <c:v>7</c:v>
              </c:pt>
              <c:pt idx="126">
                <c:v>5</c:v>
              </c:pt>
              <c:pt idx="127">
                <c:v>0</c:v>
              </c:pt>
              <c:pt idx="128">
                <c:v>5</c:v>
              </c:pt>
              <c:pt idx="129">
                <c:v>4</c:v>
              </c:pt>
              <c:pt idx="130">
                <c:v>4</c:v>
              </c:pt>
              <c:pt idx="131">
                <c:v>20</c:v>
              </c:pt>
              <c:pt idx="132">
                <c:v>32</c:v>
              </c:pt>
              <c:pt idx="133">
                <c:v>18</c:v>
              </c:pt>
              <c:pt idx="134">
                <c:v>20</c:v>
              </c:pt>
              <c:pt idx="135">
                <c:v>3</c:v>
              </c:pt>
              <c:pt idx="136">
                <c:v>25</c:v>
              </c:pt>
              <c:pt idx="137">
                <c:v>80</c:v>
              </c:pt>
              <c:pt idx="138">
                <c:v>7</c:v>
              </c:pt>
              <c:pt idx="139">
                <c:v>52</c:v>
              </c:pt>
              <c:pt idx="140">
                <c:v>5</c:v>
              </c:pt>
              <c:pt idx="141">
                <c:v>4</c:v>
              </c:pt>
              <c:pt idx="142">
                <c:v>7</c:v>
              </c:pt>
              <c:pt idx="143">
                <c:v>41</c:v>
              </c:pt>
              <c:pt idx="144">
                <c:v>1</c:v>
              </c:pt>
              <c:pt idx="145">
                <c:v>10</c:v>
              </c:pt>
              <c:pt idx="146">
                <c:v>7</c:v>
              </c:pt>
              <c:pt idx="147">
                <c:v>16</c:v>
              </c:pt>
              <c:pt idx="148">
                <c:v>36</c:v>
              </c:pt>
              <c:pt idx="149">
                <c:v>4</c:v>
              </c:pt>
              <c:pt idx="150">
                <c:v>35</c:v>
              </c:pt>
              <c:pt idx="151">
                <c:v>16</c:v>
              </c:pt>
              <c:pt idx="152">
                <c:v>54</c:v>
              </c:pt>
              <c:pt idx="153">
                <c:v>15</c:v>
              </c:pt>
              <c:pt idx="154">
                <c:v>37</c:v>
              </c:pt>
              <c:pt idx="155">
                <c:v>3</c:v>
              </c:pt>
              <c:pt idx="156">
                <c:v>5</c:v>
              </c:pt>
              <c:pt idx="157">
                <c:v>4</c:v>
              </c:pt>
              <c:pt idx="158">
                <c:v>2</c:v>
              </c:pt>
              <c:pt idx="159">
                <c:v>7</c:v>
              </c:pt>
              <c:pt idx="160">
                <c:v>11</c:v>
              </c:pt>
              <c:pt idx="161">
                <c:v>0</c:v>
              </c:pt>
              <c:pt idx="162">
                <c:v>12</c:v>
              </c:pt>
              <c:pt idx="163">
                <c:v>17</c:v>
              </c:pt>
              <c:pt idx="164">
                <c:v>11</c:v>
              </c:pt>
              <c:pt idx="165">
                <c:v>24</c:v>
              </c:pt>
              <c:pt idx="166">
                <c:v>13</c:v>
              </c:pt>
              <c:pt idx="167">
                <c:v>45</c:v>
              </c:pt>
              <c:pt idx="168">
                <c:v>37</c:v>
              </c:pt>
              <c:pt idx="169">
                <c:v>11</c:v>
              </c:pt>
              <c:pt idx="170">
                <c:v>5</c:v>
              </c:pt>
              <c:pt idx="171">
                <c:v>31</c:v>
              </c:pt>
              <c:pt idx="172">
                <c:v>1</c:v>
              </c:pt>
              <c:pt idx="173">
                <c:v>2</c:v>
              </c:pt>
              <c:pt idx="174">
                <c:v>7</c:v>
              </c:pt>
              <c:pt idx="175">
                <c:v>18</c:v>
              </c:pt>
              <c:pt idx="176">
                <c:v>5</c:v>
              </c:pt>
              <c:pt idx="177">
                <c:v>34</c:v>
              </c:pt>
              <c:pt idx="178">
                <c:v>52</c:v>
              </c:pt>
              <c:pt idx="179">
                <c:v>13</c:v>
              </c:pt>
              <c:pt idx="180">
                <c:v>2</c:v>
              </c:pt>
              <c:pt idx="181">
                <c:v>23</c:v>
              </c:pt>
              <c:pt idx="182">
                <c:v>9</c:v>
              </c:pt>
              <c:pt idx="183">
                <c:v>24</c:v>
              </c:pt>
              <c:pt idx="184">
                <c:v>0</c:v>
              </c:pt>
              <c:pt idx="185">
                <c:v>82</c:v>
              </c:pt>
              <c:pt idx="186">
                <c:v>1</c:v>
              </c:pt>
              <c:pt idx="187">
                <c:v>4</c:v>
              </c:pt>
              <c:pt idx="188">
                <c:v>10</c:v>
              </c:pt>
              <c:pt idx="189">
                <c:v>3</c:v>
              </c:pt>
              <c:pt idx="190">
                <c:v>12</c:v>
              </c:pt>
              <c:pt idx="191">
                <c:v>8</c:v>
              </c:pt>
              <c:pt idx="192">
                <c:v>3</c:v>
              </c:pt>
              <c:pt idx="193">
                <c:v>11</c:v>
              </c:pt>
              <c:pt idx="194">
                <c:v>39</c:v>
              </c:pt>
              <c:pt idx="195">
                <c:v>8</c:v>
              </c:pt>
              <c:pt idx="196">
                <c:v>4</c:v>
              </c:pt>
              <c:pt idx="197">
                <c:v>23</c:v>
              </c:pt>
              <c:pt idx="198">
                <c:v>0</c:v>
              </c:pt>
              <c:pt idx="199">
                <c:v>29</c:v>
              </c:pt>
              <c:pt idx="200">
                <c:v>40</c:v>
              </c:pt>
              <c:pt idx="201">
                <c:v>5</c:v>
              </c:pt>
              <c:pt idx="202">
                <c:v>9</c:v>
              </c:pt>
              <c:pt idx="203">
                <c:v>28</c:v>
              </c:pt>
              <c:pt idx="204">
                <c:v>12</c:v>
              </c:pt>
              <c:pt idx="205">
                <c:v>0</c:v>
              </c:pt>
              <c:pt idx="206">
                <c:v>39</c:v>
              </c:pt>
              <c:pt idx="207">
                <c:v>9</c:v>
              </c:pt>
              <c:pt idx="208">
                <c:v>0</c:v>
              </c:pt>
              <c:pt idx="209">
                <c:v>3</c:v>
              </c:pt>
              <c:pt idx="210">
                <c:v>11</c:v>
              </c:pt>
              <c:pt idx="211">
                <c:v>19</c:v>
              </c:pt>
              <c:pt idx="212">
                <c:v>33</c:v>
              </c:pt>
              <c:pt idx="213">
                <c:v>1</c:v>
              </c:pt>
              <c:pt idx="214">
                <c:v>2</c:v>
              </c:pt>
              <c:pt idx="215">
                <c:v>41</c:v>
              </c:pt>
              <c:pt idx="216">
                <c:v>15</c:v>
              </c:pt>
              <c:pt idx="217">
                <c:v>6</c:v>
              </c:pt>
              <c:pt idx="218">
                <c:v>15</c:v>
              </c:pt>
              <c:pt idx="219">
                <c:v>14</c:v>
              </c:pt>
              <c:pt idx="220">
                <c:v>9</c:v>
              </c:pt>
              <c:pt idx="221">
                <c:v>17</c:v>
              </c:pt>
              <c:pt idx="222">
                <c:v>9</c:v>
              </c:pt>
              <c:pt idx="223">
                <c:v>5</c:v>
              </c:pt>
              <c:pt idx="224">
                <c:v>14</c:v>
              </c:pt>
              <c:pt idx="225">
                <c:v>15</c:v>
              </c:pt>
              <c:pt idx="226">
                <c:v>19</c:v>
              </c:pt>
              <c:pt idx="227">
                <c:v>1</c:v>
              </c:pt>
              <c:pt idx="228">
                <c:v>1</c:v>
              </c:pt>
              <c:pt idx="229">
                <c:v>1</c:v>
              </c:pt>
              <c:pt idx="230">
                <c:v>8</c:v>
              </c:pt>
              <c:pt idx="231">
                <c:v>2</c:v>
              </c:pt>
              <c:pt idx="232">
                <c:v>1</c:v>
              </c:pt>
              <c:pt idx="233">
                <c:v>31</c:v>
              </c:pt>
              <c:pt idx="234">
                <c:v>15</c:v>
              </c:pt>
              <c:pt idx="235">
                <c:v>11</c:v>
              </c:pt>
              <c:pt idx="236">
                <c:v>8</c:v>
              </c:pt>
              <c:pt idx="237">
                <c:v>1</c:v>
              </c:pt>
              <c:pt idx="238">
                <c:v>11</c:v>
              </c:pt>
              <c:pt idx="239">
                <c:v>1</c:v>
              </c:pt>
              <c:pt idx="240">
                <c:v>4</c:v>
              </c:pt>
              <c:pt idx="241">
                <c:v>7</c:v>
              </c:pt>
              <c:pt idx="242">
                <c:v>6</c:v>
              </c:pt>
              <c:pt idx="243">
                <c:v>47</c:v>
              </c:pt>
              <c:pt idx="244">
                <c:v>14</c:v>
              </c:pt>
              <c:pt idx="245">
                <c:v>3</c:v>
              </c:pt>
              <c:pt idx="24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1EE-1E9E-48C1-BD96-CE0B4F3D71AE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0-1E9E-48C1-BD96-CE0B4F3D71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2-1E9E-48C1-BD96-CE0B4F3D71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4-1E9E-48C1-BD96-CE0B4F3D71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6-1E9E-48C1-BD96-CE0B4F3D71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8-1E9E-48C1-BD96-CE0B4F3D71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A-1E9E-48C1-BD96-CE0B4F3D71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C-1E9E-48C1-BD96-CE0B4F3D71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E-1E9E-48C1-BD96-CE0B4F3D71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0-1E9E-48C1-BD96-CE0B4F3D71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2-1E9E-48C1-BD96-CE0B4F3D71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4-1E9E-48C1-BD96-CE0B4F3D71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6-1E9E-48C1-BD96-CE0B4F3D71A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8-1E9E-48C1-BD96-CE0B4F3D71A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A-1E9E-48C1-BD96-CE0B4F3D71A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C-1E9E-48C1-BD96-CE0B4F3D71A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E-1E9E-48C1-BD96-CE0B4F3D71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0-1E9E-48C1-BD96-CE0B4F3D71A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2-1E9E-48C1-BD96-CE0B4F3D71A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4-1E9E-48C1-BD96-CE0B4F3D71A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6-1E9E-48C1-BD96-CE0B4F3D71A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8-1E9E-48C1-BD96-CE0B4F3D71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A-1E9E-48C1-BD96-CE0B4F3D71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C-1E9E-48C1-BD96-CE0B4F3D71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E-1E9E-48C1-BD96-CE0B4F3D71A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0-1E9E-48C1-BD96-CE0B4F3D71A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2-1E9E-48C1-BD96-CE0B4F3D71A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4-1E9E-48C1-BD96-CE0B4F3D71A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6-1E9E-48C1-BD96-CE0B4F3D71A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8-1E9E-48C1-BD96-CE0B4F3D71A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A-1E9E-48C1-BD96-CE0B4F3D71A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C-1E9E-48C1-BD96-CE0B4F3D71A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E-1E9E-48C1-BD96-CE0B4F3D71A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0-1E9E-48C1-BD96-CE0B4F3D71A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2-1E9E-48C1-BD96-CE0B4F3D71A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4-1E9E-48C1-BD96-CE0B4F3D71A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6-1E9E-48C1-BD96-CE0B4F3D71A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8-1E9E-48C1-BD96-CE0B4F3D71A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A-1E9E-48C1-BD96-CE0B4F3D71A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C-1E9E-48C1-BD96-CE0B4F3D71A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E-1E9E-48C1-BD96-CE0B4F3D71A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0-1E9E-48C1-BD96-CE0B4F3D71A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2-1E9E-48C1-BD96-CE0B4F3D71A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4-1E9E-48C1-BD96-CE0B4F3D71A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6-1E9E-48C1-BD96-CE0B4F3D71A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8-1E9E-48C1-BD96-CE0B4F3D71A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A-1E9E-48C1-BD96-CE0B4F3D71A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C-1E9E-48C1-BD96-CE0B4F3D71A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E-1E9E-48C1-BD96-CE0B4F3D71A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0-1E9E-48C1-BD96-CE0B4F3D71A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2-1E9E-48C1-BD96-CE0B4F3D71A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4-1E9E-48C1-BD96-CE0B4F3D71A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6-1E9E-48C1-BD96-CE0B4F3D71A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8-1E9E-48C1-BD96-CE0B4F3D71A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A-1E9E-48C1-BD96-CE0B4F3D71A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C-1E9E-48C1-BD96-CE0B4F3D71A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E-1E9E-48C1-BD96-CE0B4F3D71A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0-1E9E-48C1-BD96-CE0B4F3D71A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2-1E9E-48C1-BD96-CE0B4F3D71A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4-1E9E-48C1-BD96-CE0B4F3D71A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6-1E9E-48C1-BD96-CE0B4F3D71A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8-1E9E-48C1-BD96-CE0B4F3D71A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A-1E9E-48C1-BD96-CE0B4F3D71A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C-1E9E-48C1-BD96-CE0B4F3D71A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E-1E9E-48C1-BD96-CE0B4F3D71A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0-1E9E-48C1-BD96-CE0B4F3D71A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2-1E9E-48C1-BD96-CE0B4F3D71A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4-1E9E-48C1-BD96-CE0B4F3D71A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6-1E9E-48C1-BD96-CE0B4F3D71A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8-1E9E-48C1-BD96-CE0B4F3D71A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A-1E9E-48C1-BD96-CE0B4F3D71A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C-1E9E-48C1-BD96-CE0B4F3D71A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E-1E9E-48C1-BD96-CE0B4F3D71A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0-1E9E-48C1-BD96-CE0B4F3D71A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2-1E9E-48C1-BD96-CE0B4F3D71A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4-1E9E-48C1-BD96-CE0B4F3D71A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6-1E9E-48C1-BD96-CE0B4F3D71A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8-1E9E-48C1-BD96-CE0B4F3D71A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A-1E9E-48C1-BD96-CE0B4F3D71A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C-1E9E-48C1-BD96-CE0B4F3D71A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E-1E9E-48C1-BD96-CE0B4F3D71A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0-1E9E-48C1-BD96-CE0B4F3D71A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2-1E9E-48C1-BD96-CE0B4F3D71A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4-1E9E-48C1-BD96-CE0B4F3D71A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6-1E9E-48C1-BD96-CE0B4F3D71A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8-1E9E-48C1-BD96-CE0B4F3D71A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A-1E9E-48C1-BD96-CE0B4F3D71A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C-1E9E-48C1-BD96-CE0B4F3D71A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E-1E9E-48C1-BD96-CE0B4F3D71A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0-1E9E-48C1-BD96-CE0B4F3D71A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2-1E9E-48C1-BD96-CE0B4F3D71A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4-1E9E-48C1-BD96-CE0B4F3D71A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6-1E9E-48C1-BD96-CE0B4F3D71A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8-1E9E-48C1-BD96-CE0B4F3D71A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A-1E9E-48C1-BD96-CE0B4F3D71A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C-1E9E-48C1-BD96-CE0B4F3D71A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E-1E9E-48C1-BD96-CE0B4F3D71A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0-1E9E-48C1-BD96-CE0B4F3D71A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2-1E9E-48C1-BD96-CE0B4F3D71A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4-1E9E-48C1-BD96-CE0B4F3D71A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6-1E9E-48C1-BD96-CE0B4F3D71A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8-1E9E-48C1-BD96-CE0B4F3D71A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A-1E9E-48C1-BD96-CE0B4F3D71A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C-1E9E-48C1-BD96-CE0B4F3D71A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E-1E9E-48C1-BD96-CE0B4F3D71A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0-1E9E-48C1-BD96-CE0B4F3D71A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2-1E9E-48C1-BD96-CE0B4F3D71A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4-1E9E-48C1-BD96-CE0B4F3D71A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6-1E9E-48C1-BD96-CE0B4F3D71A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8-1E9E-48C1-BD96-CE0B4F3D71A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A-1E9E-48C1-BD96-CE0B4F3D71A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C-1E9E-48C1-BD96-CE0B4F3D71A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E-1E9E-48C1-BD96-CE0B4F3D71A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0-1E9E-48C1-BD96-CE0B4F3D71A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2-1E9E-48C1-BD96-CE0B4F3D71A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4-1E9E-48C1-BD96-CE0B4F3D71A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6-1E9E-48C1-BD96-CE0B4F3D71A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8-1E9E-48C1-BD96-CE0B4F3D71A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A-1E9E-48C1-BD96-CE0B4F3D71A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C-1E9E-48C1-BD96-CE0B4F3D71A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E-1E9E-48C1-BD96-CE0B4F3D71A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0-1E9E-48C1-BD96-CE0B4F3D71A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2-1E9E-48C1-BD96-CE0B4F3D71A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4-1E9E-48C1-BD96-CE0B4F3D71A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6-1E9E-48C1-BD96-CE0B4F3D71A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8-1E9E-48C1-BD96-CE0B4F3D71A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A-1E9E-48C1-BD96-CE0B4F3D71A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C-1E9E-48C1-BD96-CE0B4F3D71A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E-1E9E-48C1-BD96-CE0B4F3D71A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0-1E9E-48C1-BD96-CE0B4F3D71A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2-1E9E-48C1-BD96-CE0B4F3D71A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4-1E9E-48C1-BD96-CE0B4F3D71A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6-1E9E-48C1-BD96-CE0B4F3D71A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8-1E9E-48C1-BD96-CE0B4F3D71A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A-1E9E-48C1-BD96-CE0B4F3D71A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C-1E9E-48C1-BD96-CE0B4F3D71A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E-1E9E-48C1-BD96-CE0B4F3D71A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0-1E9E-48C1-BD96-CE0B4F3D71A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2-1E9E-48C1-BD96-CE0B4F3D71A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4-1E9E-48C1-BD96-CE0B4F3D71A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6-1E9E-48C1-BD96-CE0B4F3D71A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8-1E9E-48C1-BD96-CE0B4F3D71A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A-1E9E-48C1-BD96-CE0B4F3D71A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C-1E9E-48C1-BD96-CE0B4F3D71A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E-1E9E-48C1-BD96-CE0B4F3D71A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0-1E9E-48C1-BD96-CE0B4F3D71A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2-1E9E-48C1-BD96-CE0B4F3D71A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4-1E9E-48C1-BD96-CE0B4F3D71A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6-1E9E-48C1-BD96-CE0B4F3D71A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8-1E9E-48C1-BD96-CE0B4F3D71A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A-1E9E-48C1-BD96-CE0B4F3D71AE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C-1E9E-48C1-BD96-CE0B4F3D71AE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E-1E9E-48C1-BD96-CE0B4F3D71AE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0-1E9E-48C1-BD96-CE0B4F3D71AE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2-1E9E-48C1-BD96-CE0B4F3D71AE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4-1E9E-48C1-BD96-CE0B4F3D71AE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6-1E9E-48C1-BD96-CE0B4F3D71AE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8-1E9E-48C1-BD96-CE0B4F3D71AE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A-1E9E-48C1-BD96-CE0B4F3D71AE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C-1E9E-48C1-BD96-CE0B4F3D71AE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E-1E9E-48C1-BD96-CE0B4F3D71AE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0-1E9E-48C1-BD96-CE0B4F3D71AE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2-1E9E-48C1-BD96-CE0B4F3D71AE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4-1E9E-48C1-BD96-CE0B4F3D71AE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6-1E9E-48C1-BD96-CE0B4F3D71AE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8-1E9E-48C1-BD96-CE0B4F3D71AE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A-1E9E-48C1-BD96-CE0B4F3D71AE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C-1E9E-48C1-BD96-CE0B4F3D71AE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E-1E9E-48C1-BD96-CE0B4F3D71AE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0-1E9E-48C1-BD96-CE0B4F3D71AE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2-1E9E-48C1-BD96-CE0B4F3D71AE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4-1E9E-48C1-BD96-CE0B4F3D71AE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6-1E9E-48C1-BD96-CE0B4F3D71AE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8-1E9E-48C1-BD96-CE0B4F3D71AE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A-1E9E-48C1-BD96-CE0B4F3D71AE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C-1E9E-48C1-BD96-CE0B4F3D71AE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E-1E9E-48C1-BD96-CE0B4F3D71AE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0-1E9E-48C1-BD96-CE0B4F3D71AE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2-1E9E-48C1-BD96-CE0B4F3D71AE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4-1E9E-48C1-BD96-CE0B4F3D71AE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6-1E9E-48C1-BD96-CE0B4F3D71AE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8-1E9E-48C1-BD96-CE0B4F3D71AE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A-1E9E-48C1-BD96-CE0B4F3D71AE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C-1E9E-48C1-BD96-CE0B4F3D71AE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E-1E9E-48C1-BD96-CE0B4F3D71AE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0-1E9E-48C1-BD96-CE0B4F3D71AE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2-1E9E-48C1-BD96-CE0B4F3D71AE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4-1E9E-48C1-BD96-CE0B4F3D71AE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6-1E9E-48C1-BD96-CE0B4F3D71AE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8-1E9E-48C1-BD96-CE0B4F3D71AE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A-1E9E-48C1-BD96-CE0B4F3D71AE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C-1E9E-48C1-BD96-CE0B4F3D71AE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E-1E9E-48C1-BD96-CE0B4F3D71AE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0-1E9E-48C1-BD96-CE0B4F3D71AE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2-1E9E-48C1-BD96-CE0B4F3D71AE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4-1E9E-48C1-BD96-CE0B4F3D71AE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6-1E9E-48C1-BD96-CE0B4F3D71AE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8-1E9E-48C1-BD96-CE0B4F3D71AE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A-1E9E-48C1-BD96-CE0B4F3D71AE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C-1E9E-48C1-BD96-CE0B4F3D71AE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E-1E9E-48C1-BD96-CE0B4F3D71AE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0-1E9E-48C1-BD96-CE0B4F3D71AE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2-1E9E-48C1-BD96-CE0B4F3D71AE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4-1E9E-48C1-BD96-CE0B4F3D71AE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6-1E9E-48C1-BD96-CE0B4F3D71AE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8-1E9E-48C1-BD96-CE0B4F3D71AE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A-1E9E-48C1-BD96-CE0B4F3D71AE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C-1E9E-48C1-BD96-CE0B4F3D71AE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E-1E9E-48C1-BD96-CE0B4F3D71AE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0-1E9E-48C1-BD96-CE0B4F3D71AE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2-1E9E-48C1-BD96-CE0B4F3D71AE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4-1E9E-48C1-BD96-CE0B4F3D71AE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6-1E9E-48C1-BD96-CE0B4F3D71AE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8-1E9E-48C1-BD96-CE0B4F3D71AE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A-1E9E-48C1-BD96-CE0B4F3D71AE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C-1E9E-48C1-BD96-CE0B4F3D71AE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E-1E9E-48C1-BD96-CE0B4F3D71AE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0-1E9E-48C1-BD96-CE0B4F3D71AE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2-1E9E-48C1-BD96-CE0B4F3D71AE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4-1E9E-48C1-BD96-CE0B4F3D71AE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6-1E9E-48C1-BD96-CE0B4F3D71AE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8-1E9E-48C1-BD96-CE0B4F3D71AE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A-1E9E-48C1-BD96-CE0B4F3D71AE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C-1E9E-48C1-BD96-CE0B4F3D71AE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E-1E9E-48C1-BD96-CE0B4F3D71AE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0-1E9E-48C1-BD96-CE0B4F3D71AE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2-1E9E-48C1-BD96-CE0B4F3D71AE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4-1E9E-48C1-BD96-CE0B4F3D71AE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6-1E9E-48C1-BD96-CE0B4F3D71AE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8-1E9E-48C1-BD96-CE0B4F3D71AE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A-1E9E-48C1-BD96-CE0B4F3D71AE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C-1E9E-48C1-BD96-CE0B4F3D71AE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E-1E9E-48C1-BD96-CE0B4F3D71AE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0-1E9E-48C1-BD96-CE0B4F3D71AE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2-1E9E-48C1-BD96-CE0B4F3D71AE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4-1E9E-48C1-BD96-CE0B4F3D71AE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6-1E9E-48C1-BD96-CE0B4F3D71AE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8-1E9E-48C1-BD96-CE0B4F3D71AE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A-1E9E-48C1-BD96-CE0B4F3D71AE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C-1E9E-48C1-BD96-CE0B4F3D71AE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E-1E9E-48C1-BD96-CE0B4F3D71AE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0-1E9E-48C1-BD96-CE0B4F3D71AE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2-1E9E-48C1-BD96-CE0B4F3D71AE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4-1E9E-48C1-BD96-CE0B4F3D71AE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6-1E9E-48C1-BD96-CE0B4F3D71AE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8-1E9E-48C1-BD96-CE0B4F3D71AE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A-1E9E-48C1-BD96-CE0B4F3D71AE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C-1E9E-48C1-BD96-CE0B4F3D71AE}"/>
              </c:ext>
            </c:extLst>
          </c:dPt>
          <c:cat>
            <c:strLit>
              <c:ptCount val="247"/>
              <c:pt idx="0">
                <c:v>0.21 0.2</c:v>
              </c:pt>
              <c:pt idx="1">
                <c:v>0.21 0.32</c:v>
              </c:pt>
              <c:pt idx="2">
                <c:v>0.24 0.3</c:v>
              </c:pt>
              <c:pt idx="3">
                <c:v>0.25 0.2</c:v>
              </c:pt>
              <c:pt idx="4">
                <c:v>0.26 0.14</c:v>
              </c:pt>
              <c:pt idx="5">
                <c:v>0.26 0.16</c:v>
              </c:pt>
              <c:pt idx="6">
                <c:v>0.26 0.18</c:v>
              </c:pt>
              <c:pt idx="7">
                <c:v>0.26 0.3</c:v>
              </c:pt>
              <c:pt idx="8">
                <c:v>0.27 0.2</c:v>
              </c:pt>
              <c:pt idx="9">
                <c:v>0.27 0.22</c:v>
              </c:pt>
              <c:pt idx="10">
                <c:v>0.28 0.12</c:v>
              </c:pt>
              <c:pt idx="11">
                <c:v>0.28 0.14</c:v>
              </c:pt>
              <c:pt idx="12">
                <c:v>0.28 0.16</c:v>
              </c:pt>
              <c:pt idx="13">
                <c:v>0.28 0.28</c:v>
              </c:pt>
              <c:pt idx="14">
                <c:v>0.28 0.3</c:v>
              </c:pt>
              <c:pt idx="15">
                <c:v>0.28 0.42</c:v>
              </c:pt>
              <c:pt idx="16">
                <c:v>0.29 0.18</c:v>
              </c:pt>
              <c:pt idx="17">
                <c:v>0.29 0.34</c:v>
              </c:pt>
              <c:pt idx="18">
                <c:v>0.29 0.38</c:v>
              </c:pt>
              <c:pt idx="19">
                <c:v>0.3 0.12</c:v>
              </c:pt>
              <c:pt idx="20">
                <c:v>0.3 0.24</c:v>
              </c:pt>
              <c:pt idx="21">
                <c:v>0.3 0.26</c:v>
              </c:pt>
              <c:pt idx="22">
                <c:v>0.3 0.28</c:v>
              </c:pt>
              <c:pt idx="23">
                <c:v>0.3 0.4</c:v>
              </c:pt>
              <c:pt idx="24">
                <c:v>0.31 0.14</c:v>
              </c:pt>
              <c:pt idx="25">
                <c:v>0.31 0.32</c:v>
              </c:pt>
              <c:pt idx="26">
                <c:v>0.31 0.34</c:v>
              </c:pt>
              <c:pt idx="27">
                <c:v>0.32 0.2</c:v>
              </c:pt>
              <c:pt idx="28">
                <c:v>0.32 0.22</c:v>
              </c:pt>
              <c:pt idx="29">
                <c:v>0.32 0.24</c:v>
              </c:pt>
              <c:pt idx="30">
                <c:v>0.32 0.36</c:v>
              </c:pt>
              <c:pt idx="31">
                <c:v>0.32 0.4</c:v>
              </c:pt>
              <c:pt idx="32">
                <c:v>0.33 0.1</c:v>
              </c:pt>
              <c:pt idx="33">
                <c:v>0.33 0.12</c:v>
              </c:pt>
              <c:pt idx="34">
                <c:v>0.33 0.14</c:v>
              </c:pt>
              <c:pt idx="35">
                <c:v>0.33 0.26</c:v>
              </c:pt>
              <c:pt idx="36">
                <c:v>0.34 0.16</c:v>
              </c:pt>
              <c:pt idx="37">
                <c:v>0.34 0.2</c:v>
              </c:pt>
              <c:pt idx="38">
                <c:v>0.34 0.34</c:v>
              </c:pt>
              <c:pt idx="39">
                <c:v>0.35 0.08</c:v>
              </c:pt>
              <c:pt idx="40">
                <c:v>0.35 0.22</c:v>
              </c:pt>
              <c:pt idx="41">
                <c:v>0.35 0.24</c:v>
              </c:pt>
              <c:pt idx="42">
                <c:v>0.35 0.26</c:v>
              </c:pt>
              <c:pt idx="43">
                <c:v>0.35 0.4</c:v>
              </c:pt>
              <c:pt idx="44">
                <c:v>0.36 0.1</c:v>
              </c:pt>
              <c:pt idx="45">
                <c:v>0.36 0.12</c:v>
              </c:pt>
              <c:pt idx="46">
                <c:v>0.36 0.14</c:v>
              </c:pt>
              <c:pt idx="47">
                <c:v>0.36 0.28</c:v>
              </c:pt>
              <c:pt idx="48">
                <c:v>0.36 0.32</c:v>
              </c:pt>
              <c:pt idx="49">
                <c:v>0.37 0.16</c:v>
              </c:pt>
              <c:pt idx="50">
                <c:v>0.37 0.18</c:v>
              </c:pt>
              <c:pt idx="51">
                <c:v>0.37 0.2</c:v>
              </c:pt>
              <c:pt idx="52">
                <c:v>0.37 0.22</c:v>
              </c:pt>
              <c:pt idx="53">
                <c:v>0.37 0.38</c:v>
              </c:pt>
              <c:pt idx="54">
                <c:v>0.38 0.06</c:v>
              </c:pt>
              <c:pt idx="55">
                <c:v>0.38 0.08</c:v>
              </c:pt>
              <c:pt idx="56">
                <c:v>0.38 0.24</c:v>
              </c:pt>
              <c:pt idx="57">
                <c:v>0.38 0.26</c:v>
              </c:pt>
              <c:pt idx="58">
                <c:v>0.38 0.28</c:v>
              </c:pt>
              <c:pt idx="59">
                <c:v>0.39 0.1</c:v>
              </c:pt>
              <c:pt idx="60">
                <c:v>0.39 0.12</c:v>
              </c:pt>
              <c:pt idx="61">
                <c:v>0.39 0.14</c:v>
              </c:pt>
              <c:pt idx="62">
                <c:v>0.39 0.3</c:v>
              </c:pt>
              <c:pt idx="63">
                <c:v>0.39 0.32</c:v>
              </c:pt>
              <c:pt idx="64">
                <c:v>0.4 0.16</c:v>
              </c:pt>
              <c:pt idx="65">
                <c:v>0.4 0.18</c:v>
              </c:pt>
              <c:pt idx="66">
                <c:v>0.4 0.2</c:v>
              </c:pt>
              <c:pt idx="67">
                <c:v>0.4 0.36</c:v>
              </c:pt>
              <c:pt idx="68">
                <c:v>0.41 0.04</c:v>
              </c:pt>
              <c:pt idx="69">
                <c:v>0.41 0.06</c:v>
              </c:pt>
              <c:pt idx="70">
                <c:v>0.41 0.22</c:v>
              </c:pt>
              <c:pt idx="71">
                <c:v>0.41 0.24</c:v>
              </c:pt>
              <c:pt idx="72">
                <c:v>0.41 0.26</c:v>
              </c:pt>
              <c:pt idx="73">
                <c:v>0.42 0.1</c:v>
              </c:pt>
              <c:pt idx="74">
                <c:v>0.42 0.12</c:v>
              </c:pt>
              <c:pt idx="75">
                <c:v>0.42 0.3</c:v>
              </c:pt>
              <c:pt idx="76">
                <c:v>0.42 0.32</c:v>
              </c:pt>
              <c:pt idx="77">
                <c:v>0.42 0.34</c:v>
              </c:pt>
              <c:pt idx="78">
                <c:v>0.43 0.14</c:v>
              </c:pt>
              <c:pt idx="79">
                <c:v>0.43 0.16</c:v>
              </c:pt>
              <c:pt idx="80">
                <c:v>0.43 0.18</c:v>
              </c:pt>
              <c:pt idx="81">
                <c:v>0.44 0.02</c:v>
              </c:pt>
              <c:pt idx="82">
                <c:v>0.44 0.2</c:v>
              </c:pt>
              <c:pt idx="83">
                <c:v>0.44 0.22</c:v>
              </c:pt>
              <c:pt idx="84">
                <c:v>0.44 0.24</c:v>
              </c:pt>
              <c:pt idx="85">
                <c:v>0.44 0.26</c:v>
              </c:pt>
              <c:pt idx="86">
                <c:v>0.45 0.04</c:v>
              </c:pt>
              <c:pt idx="87">
                <c:v>0.45 0.06</c:v>
              </c:pt>
              <c:pt idx="88">
                <c:v>0.45 0.28</c:v>
              </c:pt>
              <c:pt idx="89">
                <c:v>0.45 0.3</c:v>
              </c:pt>
              <c:pt idx="90">
                <c:v>0.45 0.32</c:v>
              </c:pt>
              <c:pt idx="91">
                <c:v>0.46 0.1</c:v>
              </c:pt>
              <c:pt idx="92">
                <c:v>0.46 0.12</c:v>
              </c:pt>
              <c:pt idx="93">
                <c:v>0.46 0.14</c:v>
              </c:pt>
              <c:pt idx="94">
                <c:v>0.46 0.34</c:v>
              </c:pt>
              <c:pt idx="95">
                <c:v>0.46 0.36</c:v>
              </c:pt>
              <c:pt idx="96">
                <c:v>0.47 0.16</c:v>
              </c:pt>
              <c:pt idx="97">
                <c:v>0.47 0.18</c:v>
              </c:pt>
              <c:pt idx="98">
                <c:v>0.47 0.2</c:v>
              </c:pt>
              <c:pt idx="99">
                <c:v>0.47 0.22</c:v>
              </c:pt>
              <c:pt idx="100">
                <c:v>0.48 0.02</c:v>
              </c:pt>
              <c:pt idx="101">
                <c:v>0.48 0.24</c:v>
              </c:pt>
              <c:pt idx="102">
                <c:v>0.48 0.26</c:v>
              </c:pt>
              <c:pt idx="103">
                <c:v>0.48 0.28</c:v>
              </c:pt>
              <c:pt idx="104">
                <c:v>0.49 0.04</c:v>
              </c:pt>
              <c:pt idx="105">
                <c:v>0.49 0.06</c:v>
              </c:pt>
              <c:pt idx="106">
                <c:v>0.49 0.1</c:v>
              </c:pt>
              <c:pt idx="107">
                <c:v>0.49 0.2</c:v>
              </c:pt>
              <c:pt idx="108">
                <c:v>0.49 0.3</c:v>
              </c:pt>
              <c:pt idx="109">
                <c:v>0.49 0.32</c:v>
              </c:pt>
              <c:pt idx="110">
                <c:v>0.49 0.34</c:v>
              </c:pt>
              <c:pt idx="111">
                <c:v>0.5 0.1</c:v>
              </c:pt>
              <c:pt idx="112">
                <c:v>0.5 0.12</c:v>
              </c:pt>
              <c:pt idx="113">
                <c:v>0.5 0.14</c:v>
              </c:pt>
              <c:pt idx="114">
                <c:v>0.5 0.16</c:v>
              </c:pt>
              <c:pt idx="115">
                <c:v>0.5 0.26</c:v>
              </c:pt>
              <c:pt idx="116">
                <c:v>0.51 0.18</c:v>
              </c:pt>
              <c:pt idx="117">
                <c:v>0.51 0.2</c:v>
              </c:pt>
              <c:pt idx="118">
                <c:v>0.51 0.22</c:v>
              </c:pt>
              <c:pt idx="119">
                <c:v>0.52 0.24</c:v>
              </c:pt>
              <c:pt idx="120">
                <c:v>0.52 0.26</c:v>
              </c:pt>
              <c:pt idx="121">
                <c:v>0.52 0.28</c:v>
              </c:pt>
              <c:pt idx="122">
                <c:v>0.52 0.3</c:v>
              </c:pt>
              <c:pt idx="123">
                <c:v>0.53 0.08</c:v>
              </c:pt>
              <c:pt idx="124">
                <c:v>0.53 0.32</c:v>
              </c:pt>
              <c:pt idx="125">
                <c:v>0.53 0.36</c:v>
              </c:pt>
              <c:pt idx="126">
                <c:v>0.54 0.1</c:v>
              </c:pt>
              <c:pt idx="127">
                <c:v>0.54 0.12</c:v>
              </c:pt>
              <c:pt idx="128">
                <c:v>0.54 0.14</c:v>
              </c:pt>
              <c:pt idx="129">
                <c:v>0.54 0.38</c:v>
              </c:pt>
              <c:pt idx="130">
                <c:v>0.54 0.4</c:v>
              </c:pt>
              <c:pt idx="131">
                <c:v>0.55 0.16</c:v>
              </c:pt>
              <c:pt idx="132">
                <c:v>0.55 0.18</c:v>
              </c:pt>
              <c:pt idx="133">
                <c:v>0.55 0.2</c:v>
              </c:pt>
              <c:pt idx="134">
                <c:v>0.55 0.22</c:v>
              </c:pt>
              <c:pt idx="135">
                <c:v>0.56 0.16</c:v>
              </c:pt>
              <c:pt idx="136">
                <c:v>0.56 0.24</c:v>
              </c:pt>
              <c:pt idx="137">
                <c:v>0.56 0.26</c:v>
              </c:pt>
              <c:pt idx="138">
                <c:v>0.56 0.28</c:v>
              </c:pt>
              <c:pt idx="139">
                <c:v>0.56 0.3</c:v>
              </c:pt>
              <c:pt idx="140">
                <c:v>0.57 0.04</c:v>
              </c:pt>
              <c:pt idx="141">
                <c:v>0.57 0.32</c:v>
              </c:pt>
              <c:pt idx="142">
                <c:v>0.57 0.34</c:v>
              </c:pt>
              <c:pt idx="143">
                <c:v>0.57 0.36</c:v>
              </c:pt>
              <c:pt idx="144">
                <c:v>0.58 0.08</c:v>
              </c:pt>
              <c:pt idx="145">
                <c:v>0.58 0.38</c:v>
              </c:pt>
              <c:pt idx="146">
                <c:v>0.58 0.4</c:v>
              </c:pt>
              <c:pt idx="147">
                <c:v>0.59 0.14</c:v>
              </c:pt>
              <c:pt idx="148">
                <c:v>0.59 0.16</c:v>
              </c:pt>
              <c:pt idx="149">
                <c:v>0.59 0.18</c:v>
              </c:pt>
              <c:pt idx="150">
                <c:v>0.59 0.2</c:v>
              </c:pt>
              <c:pt idx="151">
                <c:v>0.6 0.22</c:v>
              </c:pt>
              <c:pt idx="152">
                <c:v>0.6 0.24</c:v>
              </c:pt>
              <c:pt idx="153">
                <c:v>0.6 0.26</c:v>
              </c:pt>
              <c:pt idx="154">
                <c:v>0.61 0.28</c:v>
              </c:pt>
              <c:pt idx="155">
                <c:v>0.61 0.3</c:v>
              </c:pt>
              <c:pt idx="156">
                <c:v>0.61 0.34</c:v>
              </c:pt>
              <c:pt idx="157">
                <c:v>0.62 0.02</c:v>
              </c:pt>
              <c:pt idx="158">
                <c:v>0.62 0.06</c:v>
              </c:pt>
              <c:pt idx="159">
                <c:v>0.62 0.32</c:v>
              </c:pt>
              <c:pt idx="160">
                <c:v>0.62 0.4</c:v>
              </c:pt>
              <c:pt idx="161">
                <c:v>0.63 0.08</c:v>
              </c:pt>
              <c:pt idx="162">
                <c:v>0.63 0.14</c:v>
              </c:pt>
              <c:pt idx="163">
                <c:v>0.64 0.16</c:v>
              </c:pt>
              <c:pt idx="164">
                <c:v>0.64 0.18</c:v>
              </c:pt>
              <c:pt idx="165">
                <c:v>0.64 0.2</c:v>
              </c:pt>
              <c:pt idx="166">
                <c:v>0.64 0.22</c:v>
              </c:pt>
              <c:pt idx="167">
                <c:v>0.65 0.24</c:v>
              </c:pt>
              <c:pt idx="168">
                <c:v>0.65 0.26</c:v>
              </c:pt>
              <c:pt idx="169">
                <c:v>0.65 0.3</c:v>
              </c:pt>
              <c:pt idx="170">
                <c:v>0.66 0.34</c:v>
              </c:pt>
              <c:pt idx="171">
                <c:v>0.66 0.36</c:v>
              </c:pt>
              <c:pt idx="172">
                <c:v>0.68 0.1</c:v>
              </c:pt>
              <c:pt idx="173">
                <c:v>0.68 0.12</c:v>
              </c:pt>
              <c:pt idx="174">
                <c:v>0.69 0.14</c:v>
              </c:pt>
              <c:pt idx="175">
                <c:v>0.69 0.16</c:v>
              </c:pt>
              <c:pt idx="176">
                <c:v>0.69 0.18</c:v>
              </c:pt>
              <c:pt idx="177">
                <c:v>0.69 0.2</c:v>
              </c:pt>
              <c:pt idx="178">
                <c:v>0.69 0.22</c:v>
              </c:pt>
              <c:pt idx="179">
                <c:v>0.7 0.24</c:v>
              </c:pt>
              <c:pt idx="180">
                <c:v>0.7 0.26</c:v>
              </c:pt>
              <c:pt idx="181">
                <c:v>0.7 0.32</c:v>
              </c:pt>
              <c:pt idx="182">
                <c:v>0.71 0.34</c:v>
              </c:pt>
              <c:pt idx="183">
                <c:v>0.71 0.36</c:v>
              </c:pt>
              <c:pt idx="184">
                <c:v>0.71 0.4</c:v>
              </c:pt>
              <c:pt idx="185">
                <c:v>0.72 0.46</c:v>
              </c:pt>
              <c:pt idx="186">
                <c:v>0.73 0.08</c:v>
              </c:pt>
              <c:pt idx="187">
                <c:v>0.74 0.1</c:v>
              </c:pt>
              <c:pt idx="188">
                <c:v>0.74 0.12</c:v>
              </c:pt>
              <c:pt idx="189">
                <c:v>0.74 0.14</c:v>
              </c:pt>
              <c:pt idx="190">
                <c:v>0.74 0.16</c:v>
              </c:pt>
              <c:pt idx="191">
                <c:v>0.74 0.18</c:v>
              </c:pt>
              <c:pt idx="192">
                <c:v>0.75 0.2</c:v>
              </c:pt>
              <c:pt idx="193">
                <c:v>0.75 0.22</c:v>
              </c:pt>
              <c:pt idx="194">
                <c:v>0.75 0.24</c:v>
              </c:pt>
              <c:pt idx="195">
                <c:v>0.76 0.32</c:v>
              </c:pt>
              <c:pt idx="196">
                <c:v>0.76 0.36</c:v>
              </c:pt>
              <c:pt idx="197">
                <c:v>0.76 0.38</c:v>
              </c:pt>
              <c:pt idx="198">
                <c:v>0.76 0.4</c:v>
              </c:pt>
              <c:pt idx="199">
                <c:v>0.77 0.42</c:v>
              </c:pt>
              <c:pt idx="200">
                <c:v>0.77 0.44</c:v>
              </c:pt>
              <c:pt idx="201">
                <c:v>0.8 0.12</c:v>
              </c:pt>
              <c:pt idx="202">
                <c:v>0.8 0.14</c:v>
              </c:pt>
              <c:pt idx="203">
                <c:v>0.8 0.16</c:v>
              </c:pt>
              <c:pt idx="204">
                <c:v>0.8 0.18</c:v>
              </c:pt>
              <c:pt idx="205">
                <c:v>0.8 0.2</c:v>
              </c:pt>
              <c:pt idx="206">
                <c:v>0.8 0.22</c:v>
              </c:pt>
              <c:pt idx="207">
                <c:v>0.81 0.24</c:v>
              </c:pt>
              <c:pt idx="208">
                <c:v>0.81 0.26</c:v>
              </c:pt>
              <c:pt idx="209">
                <c:v>0.81 0.28</c:v>
              </c:pt>
              <c:pt idx="210">
                <c:v>0.81 0.3</c:v>
              </c:pt>
              <c:pt idx="211">
                <c:v>0.81 0.34</c:v>
              </c:pt>
              <c:pt idx="212">
                <c:v>0.81 0.36</c:v>
              </c:pt>
              <c:pt idx="213">
                <c:v>0.82 0.22</c:v>
              </c:pt>
              <c:pt idx="214">
                <c:v>0.82 0.38</c:v>
              </c:pt>
              <c:pt idx="215">
                <c:v>0.82 0.42</c:v>
              </c:pt>
              <c:pt idx="216">
                <c:v>0.82 0.44</c:v>
              </c:pt>
              <c:pt idx="217">
                <c:v>0.86 0.14</c:v>
              </c:pt>
              <c:pt idx="218">
                <c:v>0.86 0.16</c:v>
              </c:pt>
              <c:pt idx="219">
                <c:v>0.86 0.18</c:v>
              </c:pt>
              <c:pt idx="220">
                <c:v>0.86 0.2</c:v>
              </c:pt>
              <c:pt idx="221">
                <c:v>0.87 0.22</c:v>
              </c:pt>
              <c:pt idx="222">
                <c:v>0.87 0.28</c:v>
              </c:pt>
              <c:pt idx="223">
                <c:v>0.87 0.3</c:v>
              </c:pt>
              <c:pt idx="224">
                <c:v>0.87 0.4</c:v>
              </c:pt>
              <c:pt idx="225">
                <c:v>0.88 0.42</c:v>
              </c:pt>
              <c:pt idx="226">
                <c:v>0.88 0.46</c:v>
              </c:pt>
              <c:pt idx="227">
                <c:v>0.92 0.24</c:v>
              </c:pt>
              <c:pt idx="228">
                <c:v>0.93 0.12</c:v>
              </c:pt>
              <c:pt idx="229">
                <c:v>0.93 0.14</c:v>
              </c:pt>
              <c:pt idx="230">
                <c:v>0.93 0.16</c:v>
              </c:pt>
              <c:pt idx="231">
                <c:v>0.93 0.18</c:v>
              </c:pt>
              <c:pt idx="232">
                <c:v>0.93 0.2</c:v>
              </c:pt>
              <c:pt idx="233">
                <c:v>0.93 0.22</c:v>
              </c:pt>
              <c:pt idx="234">
                <c:v>0.93 0.24</c:v>
              </c:pt>
              <c:pt idx="235">
                <c:v>0.93 0.26</c:v>
              </c:pt>
              <c:pt idx="236">
                <c:v>0.93 0.28</c:v>
              </c:pt>
              <c:pt idx="237">
                <c:v>0.93 0.34</c:v>
              </c:pt>
              <c:pt idx="238">
                <c:v>0.94 0.4</c:v>
              </c:pt>
              <c:pt idx="239">
                <c:v>0.94 0.44</c:v>
              </c:pt>
              <c:pt idx="240">
                <c:v>0.94 0.46</c:v>
              </c:pt>
              <c:pt idx="241">
                <c:v>1 0.16</c:v>
              </c:pt>
              <c:pt idx="242">
                <c:v>1 0.2</c:v>
              </c:pt>
              <c:pt idx="243">
                <c:v>1 0.22</c:v>
              </c:pt>
              <c:pt idx="244">
                <c:v>1 0.24</c:v>
              </c:pt>
              <c:pt idx="245">
                <c:v>1 0.26</c:v>
              </c:pt>
              <c:pt idx="246">
                <c:v>1 0.42</c:v>
              </c:pt>
            </c:strLit>
          </c:cat>
          <c:val>
            <c:numLit>
              <c:formatCode>General</c:formatCode>
              <c:ptCount val="247"/>
              <c:pt idx="0">
                <c:v>65</c:v>
              </c:pt>
              <c:pt idx="1">
                <c:v>62</c:v>
              </c:pt>
              <c:pt idx="2">
                <c:v>193</c:v>
              </c:pt>
              <c:pt idx="3">
                <c:v>106</c:v>
              </c:pt>
              <c:pt idx="4">
                <c:v>50</c:v>
              </c:pt>
              <c:pt idx="5">
                <c:v>214</c:v>
              </c:pt>
              <c:pt idx="6">
                <c:v>159</c:v>
              </c:pt>
              <c:pt idx="7">
                <c:v>67</c:v>
              </c:pt>
              <c:pt idx="8">
                <c:v>118</c:v>
              </c:pt>
              <c:pt idx="9">
                <c:v>67</c:v>
              </c:pt>
              <c:pt idx="10">
                <c:v>224</c:v>
              </c:pt>
              <c:pt idx="11">
                <c:v>261</c:v>
              </c:pt>
              <c:pt idx="12">
                <c:v>314</c:v>
              </c:pt>
              <c:pt idx="13">
                <c:v>165</c:v>
              </c:pt>
              <c:pt idx="14">
                <c:v>387</c:v>
              </c:pt>
              <c:pt idx="15">
                <c:v>201</c:v>
              </c:pt>
              <c:pt idx="16">
                <c:v>127</c:v>
              </c:pt>
              <c:pt idx="17">
                <c:v>230</c:v>
              </c:pt>
              <c:pt idx="18">
                <c:v>92</c:v>
              </c:pt>
              <c:pt idx="19">
                <c:v>301</c:v>
              </c:pt>
              <c:pt idx="20">
                <c:v>146</c:v>
              </c:pt>
              <c:pt idx="21">
                <c:v>191</c:v>
              </c:pt>
              <c:pt idx="22">
                <c:v>65</c:v>
              </c:pt>
              <c:pt idx="23">
                <c:v>232</c:v>
              </c:pt>
              <c:pt idx="24">
                <c:v>93</c:v>
              </c:pt>
              <c:pt idx="25">
                <c:v>113</c:v>
              </c:pt>
              <c:pt idx="26">
                <c:v>90</c:v>
              </c:pt>
              <c:pt idx="27">
                <c:v>303</c:v>
              </c:pt>
              <c:pt idx="28">
                <c:v>236</c:v>
              </c:pt>
              <c:pt idx="29">
                <c:v>196</c:v>
              </c:pt>
              <c:pt idx="30">
                <c:v>94</c:v>
              </c:pt>
              <c:pt idx="31">
                <c:v>78</c:v>
              </c:pt>
              <c:pt idx="32">
                <c:v>116</c:v>
              </c:pt>
              <c:pt idx="33">
                <c:v>38</c:v>
              </c:pt>
              <c:pt idx="34">
                <c:v>121</c:v>
              </c:pt>
              <c:pt idx="35">
                <c:v>202</c:v>
              </c:pt>
              <c:pt idx="36">
                <c:v>65</c:v>
              </c:pt>
              <c:pt idx="37">
                <c:v>422</c:v>
              </c:pt>
              <c:pt idx="38">
                <c:v>95</c:v>
              </c:pt>
              <c:pt idx="39">
                <c:v>179</c:v>
              </c:pt>
              <c:pt idx="40">
                <c:v>249</c:v>
              </c:pt>
              <c:pt idx="41">
                <c:v>142</c:v>
              </c:pt>
              <c:pt idx="42">
                <c:v>228</c:v>
              </c:pt>
              <c:pt idx="43">
                <c:v>185</c:v>
              </c:pt>
              <c:pt idx="44">
                <c:v>75</c:v>
              </c:pt>
              <c:pt idx="45">
                <c:v>61</c:v>
              </c:pt>
              <c:pt idx="46">
                <c:v>77</c:v>
              </c:pt>
              <c:pt idx="47">
                <c:v>182</c:v>
              </c:pt>
              <c:pt idx="48">
                <c:v>162</c:v>
              </c:pt>
              <c:pt idx="49">
                <c:v>156</c:v>
              </c:pt>
              <c:pt idx="50">
                <c:v>138</c:v>
              </c:pt>
              <c:pt idx="51">
                <c:v>509</c:v>
              </c:pt>
              <c:pt idx="52">
                <c:v>597</c:v>
              </c:pt>
              <c:pt idx="53">
                <c:v>14</c:v>
              </c:pt>
              <c:pt idx="54">
                <c:v>146</c:v>
              </c:pt>
              <c:pt idx="55">
                <c:v>66</c:v>
              </c:pt>
              <c:pt idx="56">
                <c:v>809</c:v>
              </c:pt>
              <c:pt idx="57">
                <c:v>152</c:v>
              </c:pt>
              <c:pt idx="58">
                <c:v>179</c:v>
              </c:pt>
              <c:pt idx="59">
                <c:v>22</c:v>
              </c:pt>
              <c:pt idx="60">
                <c:v>201</c:v>
              </c:pt>
              <c:pt idx="61">
                <c:v>166</c:v>
              </c:pt>
              <c:pt idx="62">
                <c:v>305</c:v>
              </c:pt>
              <c:pt idx="63">
                <c:v>232</c:v>
              </c:pt>
              <c:pt idx="64">
                <c:v>294</c:v>
              </c:pt>
              <c:pt idx="65">
                <c:v>124</c:v>
              </c:pt>
              <c:pt idx="66">
                <c:v>1930</c:v>
              </c:pt>
              <c:pt idx="67">
                <c:v>2</c:v>
              </c:pt>
              <c:pt idx="68">
                <c:v>113</c:v>
              </c:pt>
              <c:pt idx="69">
                <c:v>194</c:v>
              </c:pt>
              <c:pt idx="70">
                <c:v>545</c:v>
              </c:pt>
              <c:pt idx="71">
                <c:v>75</c:v>
              </c:pt>
              <c:pt idx="72">
                <c:v>81</c:v>
              </c:pt>
              <c:pt idx="73">
                <c:v>268</c:v>
              </c:pt>
              <c:pt idx="74">
                <c:v>240</c:v>
              </c:pt>
              <c:pt idx="75">
                <c:v>194</c:v>
              </c:pt>
              <c:pt idx="76">
                <c:v>194</c:v>
              </c:pt>
              <c:pt idx="77">
                <c:v>175</c:v>
              </c:pt>
              <c:pt idx="78">
                <c:v>220</c:v>
              </c:pt>
              <c:pt idx="79">
                <c:v>160</c:v>
              </c:pt>
              <c:pt idx="80">
                <c:v>354</c:v>
              </c:pt>
              <c:pt idx="81">
                <c:v>36</c:v>
              </c:pt>
              <c:pt idx="82">
                <c:v>297</c:v>
              </c:pt>
              <c:pt idx="83">
                <c:v>209</c:v>
              </c:pt>
              <c:pt idx="84">
                <c:v>118</c:v>
              </c:pt>
              <c:pt idx="85">
                <c:v>20</c:v>
              </c:pt>
              <c:pt idx="86">
                <c:v>15</c:v>
              </c:pt>
              <c:pt idx="87">
                <c:v>96</c:v>
              </c:pt>
              <c:pt idx="88">
                <c:v>313</c:v>
              </c:pt>
              <c:pt idx="89">
                <c:v>534</c:v>
              </c:pt>
              <c:pt idx="90">
                <c:v>62</c:v>
              </c:pt>
              <c:pt idx="91">
                <c:v>58</c:v>
              </c:pt>
              <c:pt idx="92">
                <c:v>19</c:v>
              </c:pt>
              <c:pt idx="93">
                <c:v>231</c:v>
              </c:pt>
              <c:pt idx="94">
                <c:v>724</c:v>
              </c:pt>
              <c:pt idx="95">
                <c:v>43</c:v>
              </c:pt>
              <c:pt idx="96">
                <c:v>548</c:v>
              </c:pt>
              <c:pt idx="97">
                <c:v>586</c:v>
              </c:pt>
              <c:pt idx="98">
                <c:v>1525</c:v>
              </c:pt>
              <c:pt idx="99">
                <c:v>364</c:v>
              </c:pt>
              <c:pt idx="100">
                <c:v>103</c:v>
              </c:pt>
              <c:pt idx="101">
                <c:v>388</c:v>
              </c:pt>
              <c:pt idx="102">
                <c:v>235</c:v>
              </c:pt>
              <c:pt idx="103">
                <c:v>283</c:v>
              </c:pt>
              <c:pt idx="104">
                <c:v>171</c:v>
              </c:pt>
              <c:pt idx="105">
                <c:v>118</c:v>
              </c:pt>
              <c:pt idx="106">
                <c:v>196</c:v>
              </c:pt>
              <c:pt idx="107">
                <c:v>19</c:v>
              </c:pt>
              <c:pt idx="108">
                <c:v>576</c:v>
              </c:pt>
              <c:pt idx="109">
                <c:v>218</c:v>
              </c:pt>
              <c:pt idx="110">
                <c:v>115</c:v>
              </c:pt>
              <c:pt idx="111">
                <c:v>99</c:v>
              </c:pt>
              <c:pt idx="112">
                <c:v>337</c:v>
              </c:pt>
              <c:pt idx="113">
                <c:v>1165</c:v>
              </c:pt>
              <c:pt idx="114">
                <c:v>224</c:v>
              </c:pt>
              <c:pt idx="115">
                <c:v>73</c:v>
              </c:pt>
              <c:pt idx="116">
                <c:v>603</c:v>
              </c:pt>
              <c:pt idx="117">
                <c:v>772</c:v>
              </c:pt>
              <c:pt idx="118">
                <c:v>680</c:v>
              </c:pt>
              <c:pt idx="119">
                <c:v>268</c:v>
              </c:pt>
              <c:pt idx="120">
                <c:v>54</c:v>
              </c:pt>
              <c:pt idx="121">
                <c:v>48</c:v>
              </c:pt>
              <c:pt idx="122">
                <c:v>241</c:v>
              </c:pt>
              <c:pt idx="123">
                <c:v>7</c:v>
              </c:pt>
              <c:pt idx="124">
                <c:v>5</c:v>
              </c:pt>
              <c:pt idx="125">
                <c:v>183</c:v>
              </c:pt>
              <c:pt idx="126">
                <c:v>71</c:v>
              </c:pt>
              <c:pt idx="127">
                <c:v>126</c:v>
              </c:pt>
              <c:pt idx="128">
                <c:v>101</c:v>
              </c:pt>
              <c:pt idx="129">
                <c:v>46</c:v>
              </c:pt>
              <c:pt idx="130">
                <c:v>78</c:v>
              </c:pt>
              <c:pt idx="131">
                <c:v>553</c:v>
              </c:pt>
              <c:pt idx="132">
                <c:v>545</c:v>
              </c:pt>
              <c:pt idx="133">
                <c:v>54</c:v>
              </c:pt>
              <c:pt idx="134">
                <c:v>779</c:v>
              </c:pt>
              <c:pt idx="135">
                <c:v>83</c:v>
              </c:pt>
              <c:pt idx="136">
                <c:v>318</c:v>
              </c:pt>
              <c:pt idx="137">
                <c:v>765</c:v>
              </c:pt>
              <c:pt idx="138">
                <c:v>38</c:v>
              </c:pt>
              <c:pt idx="139">
                <c:v>335</c:v>
              </c:pt>
              <c:pt idx="140">
                <c:v>67</c:v>
              </c:pt>
              <c:pt idx="141">
                <c:v>108</c:v>
              </c:pt>
              <c:pt idx="142">
                <c:v>58</c:v>
              </c:pt>
              <c:pt idx="143">
                <c:v>394</c:v>
              </c:pt>
              <c:pt idx="144">
                <c:v>1</c:v>
              </c:pt>
              <c:pt idx="145">
                <c:v>94</c:v>
              </c:pt>
              <c:pt idx="146">
                <c:v>68</c:v>
              </c:pt>
              <c:pt idx="147">
                <c:v>428</c:v>
              </c:pt>
              <c:pt idx="148">
                <c:v>1480</c:v>
              </c:pt>
              <c:pt idx="149">
                <c:v>217</c:v>
              </c:pt>
              <c:pt idx="150">
                <c:v>352</c:v>
              </c:pt>
              <c:pt idx="151">
                <c:v>173</c:v>
              </c:pt>
              <c:pt idx="152">
                <c:v>498</c:v>
              </c:pt>
              <c:pt idx="153">
                <c:v>237</c:v>
              </c:pt>
              <c:pt idx="154">
                <c:v>216</c:v>
              </c:pt>
              <c:pt idx="155">
                <c:v>108</c:v>
              </c:pt>
              <c:pt idx="156">
                <c:v>156</c:v>
              </c:pt>
              <c:pt idx="157">
                <c:v>19</c:v>
              </c:pt>
              <c:pt idx="158">
                <c:v>17</c:v>
              </c:pt>
              <c:pt idx="159">
                <c:v>59</c:v>
              </c:pt>
              <c:pt idx="160">
                <c:v>67</c:v>
              </c:pt>
              <c:pt idx="161">
                <c:v>4</c:v>
              </c:pt>
              <c:pt idx="162">
                <c:v>166</c:v>
              </c:pt>
              <c:pt idx="163">
                <c:v>289</c:v>
              </c:pt>
              <c:pt idx="164">
                <c:v>168</c:v>
              </c:pt>
              <c:pt idx="165">
                <c:v>233</c:v>
              </c:pt>
              <c:pt idx="166">
                <c:v>248</c:v>
              </c:pt>
              <c:pt idx="167">
                <c:v>679</c:v>
              </c:pt>
              <c:pt idx="168">
                <c:v>306</c:v>
              </c:pt>
              <c:pt idx="169">
                <c:v>36</c:v>
              </c:pt>
              <c:pt idx="170">
                <c:v>170</c:v>
              </c:pt>
              <c:pt idx="171">
                <c:v>137</c:v>
              </c:pt>
              <c:pt idx="172">
                <c:v>23</c:v>
              </c:pt>
              <c:pt idx="173">
                <c:v>160</c:v>
              </c:pt>
              <c:pt idx="174">
                <c:v>411</c:v>
              </c:pt>
              <c:pt idx="175">
                <c:v>205</c:v>
              </c:pt>
              <c:pt idx="176">
                <c:v>48</c:v>
              </c:pt>
              <c:pt idx="177">
                <c:v>368</c:v>
              </c:pt>
              <c:pt idx="178">
                <c:v>236</c:v>
              </c:pt>
              <c:pt idx="179">
                <c:v>238</c:v>
              </c:pt>
              <c:pt idx="180">
                <c:v>76</c:v>
              </c:pt>
              <c:pt idx="181">
                <c:v>487</c:v>
              </c:pt>
              <c:pt idx="182">
                <c:v>67</c:v>
              </c:pt>
              <c:pt idx="183">
                <c:v>149</c:v>
              </c:pt>
              <c:pt idx="184">
                <c:v>8</c:v>
              </c:pt>
              <c:pt idx="185">
                <c:v>118</c:v>
              </c:pt>
              <c:pt idx="186">
                <c:v>73</c:v>
              </c:pt>
              <c:pt idx="187">
                <c:v>282</c:v>
              </c:pt>
              <c:pt idx="188">
                <c:v>265</c:v>
              </c:pt>
              <c:pt idx="189">
                <c:v>227</c:v>
              </c:pt>
              <c:pt idx="190">
                <c:v>394</c:v>
              </c:pt>
              <c:pt idx="191">
                <c:v>195</c:v>
              </c:pt>
              <c:pt idx="192">
                <c:v>32</c:v>
              </c:pt>
              <c:pt idx="193">
                <c:v>111</c:v>
              </c:pt>
              <c:pt idx="194">
                <c:v>708</c:v>
              </c:pt>
              <c:pt idx="195">
                <c:v>6</c:v>
              </c:pt>
              <c:pt idx="196">
                <c:v>55</c:v>
              </c:pt>
              <c:pt idx="197">
                <c:v>109</c:v>
              </c:pt>
              <c:pt idx="198">
                <c:v>1</c:v>
              </c:pt>
              <c:pt idx="199">
                <c:v>57</c:v>
              </c:pt>
              <c:pt idx="200">
                <c:v>70</c:v>
              </c:pt>
              <c:pt idx="201">
                <c:v>16</c:v>
              </c:pt>
              <c:pt idx="202">
                <c:v>45</c:v>
              </c:pt>
              <c:pt idx="203">
                <c:v>436</c:v>
              </c:pt>
              <c:pt idx="204">
                <c:v>149</c:v>
              </c:pt>
              <c:pt idx="205">
                <c:v>3</c:v>
              </c:pt>
              <c:pt idx="206">
                <c:v>586</c:v>
              </c:pt>
              <c:pt idx="207">
                <c:v>283</c:v>
              </c:pt>
              <c:pt idx="208">
                <c:v>2</c:v>
              </c:pt>
              <c:pt idx="209">
                <c:v>34</c:v>
              </c:pt>
              <c:pt idx="210">
                <c:v>84</c:v>
              </c:pt>
              <c:pt idx="211">
                <c:v>55</c:v>
              </c:pt>
              <c:pt idx="212">
                <c:v>76</c:v>
              </c:pt>
              <c:pt idx="213">
                <c:v>124</c:v>
              </c:pt>
              <c:pt idx="214">
                <c:v>61</c:v>
              </c:pt>
              <c:pt idx="215">
                <c:v>52</c:v>
              </c:pt>
              <c:pt idx="216">
                <c:v>52</c:v>
              </c:pt>
              <c:pt idx="217">
                <c:v>343</c:v>
              </c:pt>
              <c:pt idx="218">
                <c:v>451</c:v>
              </c:pt>
              <c:pt idx="219">
                <c:v>282</c:v>
              </c:pt>
              <c:pt idx="220">
                <c:v>189</c:v>
              </c:pt>
              <c:pt idx="221">
                <c:v>497</c:v>
              </c:pt>
              <c:pt idx="222">
                <c:v>57</c:v>
              </c:pt>
              <c:pt idx="223">
                <c:v>64</c:v>
              </c:pt>
              <c:pt idx="224">
                <c:v>56</c:v>
              </c:pt>
              <c:pt idx="225">
                <c:v>57</c:v>
              </c:pt>
              <c:pt idx="226">
                <c:v>37</c:v>
              </c:pt>
              <c:pt idx="227">
                <c:v>89</c:v>
              </c:pt>
              <c:pt idx="228">
                <c:v>17</c:v>
              </c:pt>
              <c:pt idx="229">
                <c:v>46</c:v>
              </c:pt>
              <c:pt idx="230">
                <c:v>603</c:v>
              </c:pt>
              <c:pt idx="231">
                <c:v>118</c:v>
              </c:pt>
              <c:pt idx="232">
                <c:v>41</c:v>
              </c:pt>
              <c:pt idx="233">
                <c:v>644</c:v>
              </c:pt>
              <c:pt idx="234">
                <c:v>530</c:v>
              </c:pt>
              <c:pt idx="235">
                <c:v>145</c:v>
              </c:pt>
              <c:pt idx="236">
                <c:v>160</c:v>
              </c:pt>
              <c:pt idx="237">
                <c:v>74</c:v>
              </c:pt>
              <c:pt idx="238">
                <c:v>17</c:v>
              </c:pt>
              <c:pt idx="239">
                <c:v>16</c:v>
              </c:pt>
              <c:pt idx="240">
                <c:v>5</c:v>
              </c:pt>
              <c:pt idx="241">
                <c:v>223</c:v>
              </c:pt>
              <c:pt idx="242">
                <c:v>71</c:v>
              </c:pt>
              <c:pt idx="243">
                <c:v>371</c:v>
              </c:pt>
              <c:pt idx="244">
                <c:v>64</c:v>
              </c:pt>
              <c:pt idx="245">
                <c:v>53</c:v>
              </c:pt>
              <c:pt idx="246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3DD-1E9E-48C1-BD96-CE0B4F3D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2"/>
              <c:pt idx="0">
                <c:v>1 0.02 1</c:v>
              </c:pt>
              <c:pt idx="1">
                <c:v>1 0.04 1</c:v>
              </c:pt>
              <c:pt idx="2">
                <c:v>1 0.06 1</c:v>
              </c:pt>
              <c:pt idx="3">
                <c:v>1 0.06 2</c:v>
              </c:pt>
              <c:pt idx="4">
                <c:v>1 0.08 1</c:v>
              </c:pt>
              <c:pt idx="5">
                <c:v>1 0.08 2</c:v>
              </c:pt>
              <c:pt idx="6">
                <c:v>1 0.1 1</c:v>
              </c:pt>
              <c:pt idx="7">
                <c:v>1 0.1 2</c:v>
              </c:pt>
              <c:pt idx="8">
                <c:v>1 0.12 1</c:v>
              </c:pt>
              <c:pt idx="9">
                <c:v>1 0.12 2</c:v>
              </c:pt>
              <c:pt idx="10">
                <c:v>1 0.14 1</c:v>
              </c:pt>
              <c:pt idx="11">
                <c:v>1 0.14 2</c:v>
              </c:pt>
              <c:pt idx="12">
                <c:v>1 0.16 1</c:v>
              </c:pt>
              <c:pt idx="13">
                <c:v>1 0.16 2</c:v>
              </c:pt>
              <c:pt idx="14">
                <c:v>1 0.18 1</c:v>
              </c:pt>
              <c:pt idx="15">
                <c:v>1 0.18 2</c:v>
              </c:pt>
              <c:pt idx="16">
                <c:v>1 0.2 1</c:v>
              </c:pt>
              <c:pt idx="17">
                <c:v>1 0.2 2</c:v>
              </c:pt>
              <c:pt idx="18">
                <c:v>1 0.22 1</c:v>
              </c:pt>
              <c:pt idx="19">
                <c:v>1 0.22 2</c:v>
              </c:pt>
              <c:pt idx="20">
                <c:v>1 0.24 1</c:v>
              </c:pt>
              <c:pt idx="21">
                <c:v>1 0.24 2</c:v>
              </c:pt>
              <c:pt idx="22">
                <c:v>1 0.26 1</c:v>
              </c:pt>
              <c:pt idx="23">
                <c:v>1 0.26 2</c:v>
              </c:pt>
              <c:pt idx="24">
                <c:v>1 0.28 1</c:v>
              </c:pt>
              <c:pt idx="25">
                <c:v>1 0.28 2</c:v>
              </c:pt>
              <c:pt idx="26">
                <c:v>1 0.3 1</c:v>
              </c:pt>
              <c:pt idx="27">
                <c:v>1 0.3 2</c:v>
              </c:pt>
              <c:pt idx="28">
                <c:v>1 0.32 1</c:v>
              </c:pt>
              <c:pt idx="29">
                <c:v>1 0.32 2</c:v>
              </c:pt>
              <c:pt idx="30">
                <c:v>1 0.34 1</c:v>
              </c:pt>
              <c:pt idx="31">
                <c:v>1 0.34 2</c:v>
              </c:pt>
              <c:pt idx="32">
                <c:v>1 0.36 1</c:v>
              </c:pt>
              <c:pt idx="33">
                <c:v>1 0.36 2</c:v>
              </c:pt>
              <c:pt idx="34">
                <c:v>1 0.38 1</c:v>
              </c:pt>
              <c:pt idx="35">
                <c:v>1 0.38 2</c:v>
              </c:pt>
              <c:pt idx="36">
                <c:v>1 0.4 1</c:v>
              </c:pt>
              <c:pt idx="37">
                <c:v>1 0.4 2</c:v>
              </c:pt>
              <c:pt idx="38">
                <c:v>1 0.42 1</c:v>
              </c:pt>
              <c:pt idx="39">
                <c:v>1 0.42 2</c:v>
              </c:pt>
              <c:pt idx="40">
                <c:v>1 0.44 1</c:v>
              </c:pt>
              <c:pt idx="41">
                <c:v>1 0.46 1</c:v>
              </c:pt>
            </c:strLit>
          </c:cat>
          <c:val>
            <c:numLit>
              <c:formatCode>General</c:formatCode>
              <c:ptCount val="42"/>
              <c:pt idx="0">
                <c:v>158</c:v>
              </c:pt>
              <c:pt idx="1">
                <c:v>366</c:v>
              </c:pt>
              <c:pt idx="2">
                <c:v>424</c:v>
              </c:pt>
              <c:pt idx="3">
                <c:v>147</c:v>
              </c:pt>
              <c:pt idx="4">
                <c:v>251</c:v>
              </c:pt>
              <c:pt idx="5">
                <c:v>79</c:v>
              </c:pt>
              <c:pt idx="6">
                <c:v>460</c:v>
              </c:pt>
              <c:pt idx="7">
                <c:v>750</c:v>
              </c:pt>
              <c:pt idx="8">
                <c:v>1427</c:v>
              </c:pt>
              <c:pt idx="9">
                <c:v>578</c:v>
              </c:pt>
              <c:pt idx="10">
                <c:v>2706</c:v>
              </c:pt>
              <c:pt idx="11">
                <c:v>1445</c:v>
              </c:pt>
              <c:pt idx="12">
                <c:v>5267</c:v>
              </c:pt>
              <c:pt idx="13">
                <c:v>1425</c:v>
              </c:pt>
              <c:pt idx="14">
                <c:v>2888</c:v>
              </c:pt>
              <c:pt idx="15">
                <c:v>925</c:v>
              </c:pt>
              <c:pt idx="16">
                <c:v>5602</c:v>
              </c:pt>
              <c:pt idx="17">
                <c:v>1807</c:v>
              </c:pt>
              <c:pt idx="18">
                <c:v>4696</c:v>
              </c:pt>
              <c:pt idx="19">
                <c:v>2020</c:v>
              </c:pt>
              <c:pt idx="20">
                <c:v>3194</c:v>
              </c:pt>
              <c:pt idx="21">
                <c:v>2355</c:v>
              </c:pt>
              <c:pt idx="22">
                <c:v>1994</c:v>
              </c:pt>
              <c:pt idx="23">
                <c:v>826</c:v>
              </c:pt>
              <c:pt idx="24">
                <c:v>948</c:v>
              </c:pt>
              <c:pt idx="25">
                <c:v>792</c:v>
              </c:pt>
              <c:pt idx="26">
                <c:v>2038</c:v>
              </c:pt>
              <c:pt idx="27">
                <c:v>1086</c:v>
              </c:pt>
              <c:pt idx="28">
                <c:v>807</c:v>
              </c:pt>
              <c:pt idx="29">
                <c:v>901</c:v>
              </c:pt>
              <c:pt idx="30">
                <c:v>431</c:v>
              </c:pt>
              <c:pt idx="31">
                <c:v>1578</c:v>
              </c:pt>
              <c:pt idx="32">
                <c:v>555</c:v>
              </c:pt>
              <c:pt idx="33">
                <c:v>578</c:v>
              </c:pt>
              <c:pt idx="34">
                <c:v>137</c:v>
              </c:pt>
              <c:pt idx="35">
                <c:v>279</c:v>
              </c:pt>
              <c:pt idx="36">
                <c:v>295</c:v>
              </c:pt>
              <c:pt idx="37">
                <c:v>495</c:v>
              </c:pt>
              <c:pt idx="38">
                <c:v>174</c:v>
              </c:pt>
              <c:pt idx="39">
                <c:v>201</c:v>
              </c:pt>
              <c:pt idx="40">
                <c:v>138</c:v>
              </c:pt>
              <c:pt idx="41">
                <c:v>160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F2D-4D3E-8078-2A38D798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103808"/>
        <c:axId val="256169423"/>
      </c:lineChart>
      <c:catAx>
        <c:axId val="177710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69423"/>
        <c:crosses val="autoZero"/>
        <c:auto val="1"/>
        <c:lblAlgn val="ctr"/>
        <c:lblOffset val="100"/>
        <c:noMultiLvlLbl val="0"/>
      </c:catAx>
      <c:valAx>
        <c:axId val="25616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42602093068672"/>
          <c:y val="0.44658948881389826"/>
          <c:w val="0.15130114180373552"/>
          <c:h val="8.7426181102362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atemp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0-4BBF-B671-C85467A12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0-4BBF-B671-C85467A121EA}"/>
              </c:ext>
            </c:extLst>
          </c:dPt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79.895099999999985</c:v>
              </c:pt>
              <c:pt idx="1">
                <c:v>133.12510000000012</c:v>
              </c:pt>
            </c:numLit>
          </c:val>
          <c:extLst>
            <c:ext xmlns:c16="http://schemas.microsoft.com/office/drawing/2014/chart" uri="{C3380CC4-5D6E-409C-BE32-E72D297353CC}">
              <c16:uniqueId val="{00000004-1B90-4BBF-B671-C85467A121EA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B90-4BBF-B671-C85467A12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B90-4BBF-B671-C85467A121EA}"/>
              </c:ext>
            </c:extLst>
          </c:dPt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77.440000000000055</c:v>
              </c:pt>
              <c:pt idx="1">
                <c:v>128.45999999999987</c:v>
              </c:pt>
            </c:numLit>
          </c:val>
          <c:extLst>
            <c:ext xmlns:c16="http://schemas.microsoft.com/office/drawing/2014/chart" uri="{C3380CC4-5D6E-409C-BE32-E72D297353CC}">
              <c16:uniqueId val="{00000009-1B90-4BBF-B671-C85467A121EA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90-4BBF-B671-C85467A12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90-4BBF-B671-C85467A121EA}"/>
              </c:ext>
            </c:extLst>
          </c:dPt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4110</c:v>
              </c:pt>
              <c:pt idx="1">
                <c:v>7643</c:v>
              </c:pt>
            </c:numLit>
          </c:val>
          <c:extLst>
            <c:ext xmlns:c16="http://schemas.microsoft.com/office/drawing/2014/chart" uri="{C3380CC4-5D6E-409C-BE32-E72D297353CC}">
              <c16:uniqueId val="{0000000E-1B90-4BBF-B671-C85467A12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03736029742486"/>
          <c:y val="0.14249781277340332"/>
          <c:w val="0.50493136568341102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cnt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Lit>
              <c:formatCode>General</c:formatCode>
              <c:ptCount val="1"/>
              <c:pt idx="0">
                <c:v>58304</c:v>
              </c:pt>
            </c:numLit>
          </c:val>
          <c:extLst>
            <c:ext xmlns:c16="http://schemas.microsoft.com/office/drawing/2014/chart" uri="{C3380CC4-5D6E-409C-BE32-E72D297353CC}">
              <c16:uniqueId val="{00000000-E30A-4555-A705-7DBE251C6712}"/>
            </c:ext>
          </c:extLst>
        </c:ser>
        <c:ser>
          <c:idx val="1"/>
          <c:order val="1"/>
          <c:tx>
            <c:v>Sum of registered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Lit>
              <c:formatCode>General</c:formatCode>
              <c:ptCount val="1"/>
              <c:pt idx="0">
                <c:v>53383</c:v>
              </c:pt>
            </c:numLit>
          </c:val>
          <c:extLst>
            <c:ext xmlns:c16="http://schemas.microsoft.com/office/drawing/2014/chart" uri="{C3380CC4-5D6E-409C-BE32-E72D297353CC}">
              <c16:uniqueId val="{00000001-E30A-4555-A705-7DBE251C6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591328"/>
        <c:axId val="500890352"/>
      </c:barChart>
      <c:catAx>
        <c:axId val="4925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90352"/>
        <c:crosses val="autoZero"/>
        <c:auto val="1"/>
        <c:lblAlgn val="ctr"/>
        <c:lblOffset val="100"/>
        <c:noMultiLvlLbl val="0"/>
      </c:catAx>
      <c:valAx>
        <c:axId val="5008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5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 hike it final.xlsx]pivot table analysis!PivotTable1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analysis'!$N$21</c:f>
              <c:strCache>
                <c:ptCount val="1"/>
                <c:pt idx="0">
                  <c:v>Sum of Casul customer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analysis'!$M$22:$M$23</c:f>
              <c:strCache>
                <c:ptCount val="1"/>
                <c:pt idx="0">
                  <c:v>249</c:v>
                </c:pt>
              </c:strCache>
            </c:strRef>
          </c:cat>
          <c:val>
            <c:numRef>
              <c:f>'pivot table analysis'!$N$22:$N$23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3-49BC-8212-D56F01EC8D5F}"/>
            </c:ext>
          </c:extLst>
        </c:ser>
        <c:ser>
          <c:idx val="1"/>
          <c:order val="1"/>
          <c:tx>
            <c:strRef>
              <c:f>'pivot table analysis'!$O$21</c:f>
              <c:strCache>
                <c:ptCount val="1"/>
                <c:pt idx="0">
                  <c:v>Sum of Register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 analysis'!$M$22:$M$23</c:f>
              <c:strCache>
                <c:ptCount val="1"/>
                <c:pt idx="0">
                  <c:v>249</c:v>
                </c:pt>
              </c:strCache>
            </c:strRef>
          </c:cat>
          <c:val>
            <c:numRef>
              <c:f>'pivot table analysis'!$O$22:$O$23</c:f>
              <c:numCache>
                <c:formatCode>General</c:formatCode>
                <c:ptCount val="1"/>
                <c:pt idx="0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3-49BC-8212-D56F01EC8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3876224"/>
        <c:axId val="125233552"/>
        <c:axId val="0"/>
      </c:bar3DChart>
      <c:catAx>
        <c:axId val="2838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3552"/>
        <c:crosses val="autoZero"/>
        <c:auto val="1"/>
        <c:lblAlgn val="ctr"/>
        <c:lblOffset val="100"/>
        <c:noMultiLvlLbl val="0"/>
      </c:catAx>
      <c:valAx>
        <c:axId val="1252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Riders</a:t>
            </a:r>
            <a:r>
              <a:rPr lang="en-IN" baseline="0"/>
              <a:t> by demand</a:t>
            </a:r>
            <a:endParaRPr lang="en-IN"/>
          </a:p>
        </c:rich>
      </c:tx>
      <c:layout>
        <c:manualLayout>
          <c:xMode val="edge"/>
          <c:yMode val="edge"/>
          <c:x val="0.3622707786526684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7037149202503532"/>
          <c:y val="0.22815686274509803"/>
          <c:w val="0.84135619004690598"/>
          <c:h val="0.347738150378261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dashboard!$B$7:$D$7</c:f>
              <c:strCache>
                <c:ptCount val="3"/>
                <c:pt idx="0">
                  <c:v>Total rides</c:v>
                </c:pt>
                <c:pt idx="1">
                  <c:v>Casual rides</c:v>
                </c:pt>
                <c:pt idx="2">
                  <c:v>Register riders</c:v>
                </c:pt>
              </c:strCache>
            </c:strRef>
          </c:cat>
          <c:val>
            <c:numRef>
              <c:f>dashboard!$B$8:$D$8</c:f>
              <c:numCache>
                <c:formatCode>General</c:formatCode>
                <c:ptCount val="3"/>
                <c:pt idx="0">
                  <c:v>58304</c:v>
                </c:pt>
                <c:pt idx="1">
                  <c:v>4921</c:v>
                </c:pt>
                <c:pt idx="2">
                  <c:v>53383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1-47F7-AAA2-5228B91D95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dashboard!$B$7:$D$7</c:f>
              <c:strCache>
                <c:ptCount val="3"/>
                <c:pt idx="0">
                  <c:v>Total rides</c:v>
                </c:pt>
                <c:pt idx="1">
                  <c:v>Casual rides</c:v>
                </c:pt>
                <c:pt idx="2">
                  <c:v>Register riders</c:v>
                </c:pt>
              </c:strCache>
            </c:strRef>
          </c:cat>
          <c:val>
            <c:numRef>
              <c:f>dashboard!$B$9:$D$9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83A1-47F7-AAA2-5228B91D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68480"/>
        <c:axId val="125272432"/>
      </c:barChart>
      <c:catAx>
        <c:axId val="3794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2432"/>
        <c:crosses val="autoZero"/>
        <c:auto val="1"/>
        <c:lblAlgn val="ctr"/>
        <c:lblOffset val="100"/>
        <c:noMultiLvlLbl val="0"/>
      </c:catAx>
      <c:valAx>
        <c:axId val="1252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6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 hike it final.xlsx]pivot table analysis!PivotTable5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analysis'!$N$26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analysis'!$M$27:$M$31</c:f>
              <c:strCache>
                <c:ptCount val="4"/>
                <c:pt idx="0">
                  <c:v>11</c:v>
                </c:pt>
                <c:pt idx="1">
                  <c:v>29</c:v>
                </c:pt>
                <c:pt idx="2">
                  <c:v>30</c:v>
                </c:pt>
                <c:pt idx="3">
                  <c:v>48</c:v>
                </c:pt>
              </c:strCache>
            </c:strRef>
          </c:cat>
          <c:val>
            <c:numRef>
              <c:f>'pivot table analysis'!$N$27:$N$31</c:f>
              <c:numCache>
                <c:formatCode>General</c:formatCode>
                <c:ptCount val="4"/>
                <c:pt idx="0">
                  <c:v>1</c:v>
                </c:pt>
                <c:pt idx="1">
                  <c:v>46</c:v>
                </c:pt>
                <c:pt idx="2">
                  <c:v>190</c:v>
                </c:pt>
                <c:pt idx="3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3-4F96-B2A6-7EE3125B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50384"/>
        <c:axId val="384156656"/>
      </c:barChart>
      <c:catAx>
        <c:axId val="37945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56656"/>
        <c:crosses val="autoZero"/>
        <c:auto val="1"/>
        <c:lblAlgn val="ctr"/>
        <c:lblOffset val="100"/>
        <c:noMultiLvlLbl val="0"/>
      </c:catAx>
      <c:valAx>
        <c:axId val="3841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5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4</xdr:row>
      <xdr:rowOff>72390</xdr:rowOff>
    </xdr:from>
    <xdr:to>
      <xdr:col>4</xdr:col>
      <xdr:colOff>845820</xdr:colOff>
      <xdr:row>19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E45C0-52B7-4B47-66F6-AC4D88C7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563880</xdr:colOff>
      <xdr:row>4</xdr:row>
      <xdr:rowOff>152400</xdr:rowOff>
    </xdr:from>
    <xdr:to>
      <xdr:col>8</xdr:col>
      <xdr:colOff>38100</xdr:colOff>
      <xdr:row>19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A7252B-AC62-4F5B-A4FE-E3A23F0FD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21</xdr:row>
      <xdr:rowOff>60960</xdr:rowOff>
    </xdr:from>
    <xdr:to>
      <xdr:col>4</xdr:col>
      <xdr:colOff>1059180</xdr:colOff>
      <xdr:row>34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9A0607-2133-428C-B6AC-4967EC5E5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60960</xdr:colOff>
      <xdr:row>6</xdr:row>
      <xdr:rowOff>30480</xdr:rowOff>
    </xdr:from>
    <xdr:to>
      <xdr:col>12</xdr:col>
      <xdr:colOff>586740</xdr:colOff>
      <xdr:row>20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6733E7-F970-45E5-835A-6C49AB99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229062</xdr:colOff>
      <xdr:row>22</xdr:row>
      <xdr:rowOff>79469</xdr:rowOff>
    </xdr:from>
    <xdr:to>
      <xdr:col>8</xdr:col>
      <xdr:colOff>678179</xdr:colOff>
      <xdr:row>37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44CDAD-D070-494F-8384-9A9A86E9F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281940</xdr:colOff>
      <xdr:row>23</xdr:row>
      <xdr:rowOff>106680</xdr:rowOff>
    </xdr:from>
    <xdr:to>
      <xdr:col>13</xdr:col>
      <xdr:colOff>495300</xdr:colOff>
      <xdr:row>38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8200AC-620F-4CDC-9D6D-89F54D623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419100</xdr:colOff>
      <xdr:row>37</xdr:row>
      <xdr:rowOff>99060</xdr:rowOff>
    </xdr:from>
    <xdr:to>
      <xdr:col>4</xdr:col>
      <xdr:colOff>464820</xdr:colOff>
      <xdr:row>50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24AAF-A169-4FCF-808B-036C1ED64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845820</xdr:colOff>
      <xdr:row>38</xdr:row>
      <xdr:rowOff>167640</xdr:rowOff>
    </xdr:from>
    <xdr:to>
      <xdr:col>8</xdr:col>
      <xdr:colOff>685800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8D9695-D81D-4F1B-BC0B-C141284D4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1082040</xdr:colOff>
      <xdr:row>41</xdr:row>
      <xdr:rowOff>0</xdr:rowOff>
    </xdr:from>
    <xdr:to>
      <xdr:col>13</xdr:col>
      <xdr:colOff>205740</xdr:colOff>
      <xdr:row>56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59B473-940E-4CD6-8B79-F018D194C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320040</xdr:colOff>
      <xdr:row>52</xdr:row>
      <xdr:rowOff>68580</xdr:rowOff>
    </xdr:from>
    <xdr:to>
      <xdr:col>4</xdr:col>
      <xdr:colOff>281940</xdr:colOff>
      <xdr:row>66</xdr:row>
      <xdr:rowOff>53340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061BC9-8E5D-422E-BBC1-80E278EE7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53</xdr:row>
      <xdr:rowOff>144780</xdr:rowOff>
    </xdr:from>
    <xdr:to>
      <xdr:col>7</xdr:col>
      <xdr:colOff>982980</xdr:colOff>
      <xdr:row>67</xdr:row>
      <xdr:rowOff>156210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C531572-6BA6-46EA-A01E-B0E2BC7B9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1066800</xdr:colOff>
      <xdr:row>56</xdr:row>
      <xdr:rowOff>91440</xdr:rowOff>
    </xdr:from>
    <xdr:to>
      <xdr:col>11</xdr:col>
      <xdr:colOff>891540</xdr:colOff>
      <xdr:row>65</xdr:row>
      <xdr:rowOff>49530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100D9D-15F4-43B9-B623-9256151AB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891540</xdr:colOff>
      <xdr:row>3</xdr:row>
      <xdr:rowOff>38100</xdr:rowOff>
    </xdr:from>
    <xdr:to>
      <xdr:col>2</xdr:col>
      <xdr:colOff>922020</xdr:colOff>
      <xdr:row>6</xdr:row>
      <xdr:rowOff>60960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ABBFBAD-A7F0-A082-AA03-9F26CCEA213E}"/>
            </a:ext>
          </a:extLst>
        </xdr:cNvPr>
        <xdr:cNvSpPr/>
      </xdr:nvSpPr>
      <xdr:spPr>
        <a:xfrm>
          <a:off x="1752600" y="586740"/>
          <a:ext cx="146304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solidFill>
                <a:schemeClr val="tx1"/>
              </a:solidFill>
            </a:rPr>
            <a:t>Total RIDES  58304 </a:t>
          </a:r>
        </a:p>
        <a:p>
          <a:pPr algn="l"/>
          <a:r>
            <a:rPr lang="en-IN" sz="1600">
              <a:solidFill>
                <a:schemeClr val="tx1"/>
              </a:solidFill>
            </a:rPr>
            <a:t> 58304</a:t>
          </a:r>
        </a:p>
      </xdr:txBody>
    </xdr:sp>
    <xdr:clientData/>
  </xdr:twoCellAnchor>
  <xdr:twoCellAnchor>
    <xdr:from>
      <xdr:col>4</xdr:col>
      <xdr:colOff>441960</xdr:colOff>
      <xdr:row>4</xdr:row>
      <xdr:rowOff>7620</xdr:rowOff>
    </xdr:from>
    <xdr:to>
      <xdr:col>6</xdr:col>
      <xdr:colOff>541020</xdr:colOff>
      <xdr:row>7</xdr:row>
      <xdr:rowOff>22860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2EB4ECD-E7B5-241F-6DA5-E0BC160B5EE6}"/>
            </a:ext>
          </a:extLst>
        </xdr:cNvPr>
        <xdr:cNvSpPr/>
      </xdr:nvSpPr>
      <xdr:spPr>
        <a:xfrm>
          <a:off x="4320540" y="739140"/>
          <a:ext cx="131826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CASUAL RIDES 4921</a:t>
          </a:r>
        </a:p>
      </xdr:txBody>
    </xdr:sp>
    <xdr:clientData/>
  </xdr:twoCellAnchor>
  <xdr:twoCellAnchor>
    <xdr:from>
      <xdr:col>8</xdr:col>
      <xdr:colOff>121920</xdr:colOff>
      <xdr:row>4</xdr:row>
      <xdr:rowOff>7620</xdr:rowOff>
    </xdr:from>
    <xdr:to>
      <xdr:col>10</xdr:col>
      <xdr:colOff>396240</xdr:colOff>
      <xdr:row>7</xdr:row>
      <xdr:rowOff>45720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B1716C7-5530-EC6F-1320-349A456897FC}"/>
            </a:ext>
          </a:extLst>
        </xdr:cNvPr>
        <xdr:cNvSpPr/>
      </xdr:nvSpPr>
      <xdr:spPr>
        <a:xfrm>
          <a:off x="6438900" y="739140"/>
          <a:ext cx="1493520" cy="5867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REGISTER RIDES 53383</a:t>
          </a:r>
        </a:p>
      </xdr:txBody>
    </xdr:sp>
    <xdr:clientData/>
  </xdr:twoCellAnchor>
  <xdr:twoCellAnchor>
    <xdr:from>
      <xdr:col>12</xdr:col>
      <xdr:colOff>45720</xdr:colOff>
      <xdr:row>3</xdr:row>
      <xdr:rowOff>129540</xdr:rowOff>
    </xdr:from>
    <xdr:to>
      <xdr:col>14</xdr:col>
      <xdr:colOff>91440</xdr:colOff>
      <xdr:row>6</xdr:row>
      <xdr:rowOff>45720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4A24094-D703-EB6A-500A-C5E442B09FEF}"/>
            </a:ext>
          </a:extLst>
        </xdr:cNvPr>
        <xdr:cNvSpPr/>
      </xdr:nvSpPr>
      <xdr:spPr>
        <a:xfrm>
          <a:off x="8801100" y="678180"/>
          <a:ext cx="1264920" cy="4648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Hour 11753</a:t>
          </a:r>
        </a:p>
      </xdr:txBody>
    </xdr:sp>
    <xdr:clientData/>
  </xdr:twoCellAnchor>
  <xdr:twoCellAnchor>
    <xdr:from>
      <xdr:col>0</xdr:col>
      <xdr:colOff>579120</xdr:colOff>
      <xdr:row>8</xdr:row>
      <xdr:rowOff>114300</xdr:rowOff>
    </xdr:from>
    <xdr:to>
      <xdr:col>5</xdr:col>
      <xdr:colOff>7620</xdr:colOff>
      <xdr:row>22</xdr:row>
      <xdr:rowOff>129540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D222B2-B47B-4758-979A-A1C4B9C50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320040</xdr:colOff>
      <xdr:row>9</xdr:row>
      <xdr:rowOff>137160</xdr:rowOff>
    </xdr:from>
    <xdr:to>
      <xdr:col>9</xdr:col>
      <xdr:colOff>0</xdr:colOff>
      <xdr:row>13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AAF6AE5-96F1-1725-78C8-B76096642F01}"/>
            </a:ext>
          </a:extLst>
        </xdr:cNvPr>
        <xdr:cNvSpPr/>
      </xdr:nvSpPr>
      <xdr:spPr>
        <a:xfrm>
          <a:off x="5417820" y="1783080"/>
          <a:ext cx="1508760" cy="6629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TOTAL</a:t>
          </a:r>
          <a:r>
            <a:rPr lang="en-IN" sz="1200" baseline="0">
              <a:solidFill>
                <a:schemeClr val="tx1"/>
              </a:solidFill>
            </a:rPr>
            <a:t> </a:t>
          </a:r>
          <a:r>
            <a:rPr lang="en-IN" sz="1200">
              <a:solidFill>
                <a:schemeClr val="tx1"/>
              </a:solidFill>
            </a:rPr>
            <a:t>HUMIDITY 582.48</a:t>
          </a:r>
        </a:p>
      </xdr:txBody>
    </xdr:sp>
    <xdr:clientData/>
  </xdr:twoCellAnchor>
  <xdr:twoCellAnchor>
    <xdr:from>
      <xdr:col>10</xdr:col>
      <xdr:colOff>213360</xdr:colOff>
      <xdr:row>10</xdr:row>
      <xdr:rowOff>15240</xdr:rowOff>
    </xdr:from>
    <xdr:to>
      <xdr:col>13</xdr:col>
      <xdr:colOff>91440</xdr:colOff>
      <xdr:row>12</xdr:row>
      <xdr:rowOff>160020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129C4B1-C024-CEEA-B5A6-8B941F26BBC6}"/>
            </a:ext>
          </a:extLst>
        </xdr:cNvPr>
        <xdr:cNvSpPr/>
      </xdr:nvSpPr>
      <xdr:spPr>
        <a:xfrm>
          <a:off x="7749540" y="1844040"/>
          <a:ext cx="170688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Total</a:t>
          </a:r>
          <a:r>
            <a:rPr lang="en-IN" sz="1100" baseline="0">
              <a:solidFill>
                <a:schemeClr val="tx1"/>
              </a:solidFill>
            </a:rPr>
            <a:t> riders on weekday 7748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in kumar" refreshedDate="46302.85651041667" createdVersion="8" refreshedVersion="8" minRefreshableVersion="3" recordCount="1000" xr:uid="{85A7D013-2B7D-4D23-871E-FBCB553BFDFE}">
  <cacheSource type="worksheet">
    <worksheetSource name="project_power_query"/>
  </cacheSource>
  <cacheFields count="19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  <fieldGroup par="18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2" count="2">
        <n v="1"/>
        <n v="2"/>
      </sharedItems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ntainsSemiMixedTypes="0" containsString="0" containsNumber="1" containsInteger="1" minValue="0" maxValue="1"/>
    </cacheField>
    <cacheField name="weekday" numFmtId="0">
      <sharedItems containsSemiMixedTypes="0" containsString="0" containsNumber="1" containsInteger="1" minValue="0" maxValue="6"/>
    </cacheField>
    <cacheField name="workingday" numFmtId="0">
      <sharedItems containsSemiMixedTypes="0" containsString="0" containsNumber="1" containsInteger="1" minValue="0" maxValue="1" count="2">
        <n v="0"/>
        <n v="1"/>
      </sharedItems>
    </cacheField>
    <cacheField name="weathersit" numFmtId="0">
      <sharedItems containsSemiMixedTypes="0" containsString="0" containsNumber="1" containsInteger="1" minValue="0" maxValue="4"/>
    </cacheField>
    <cacheField name="temp" numFmtId="0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 count="64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  <n v="0.31"/>
        <n v="0.73"/>
        <n v="0.24"/>
      </sharedItems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 count="4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  <n v="28"/>
        <n v="48"/>
        <n v="52"/>
        <n v="42"/>
        <n v="30"/>
        <n v="27"/>
        <n v="32"/>
        <n v="58"/>
        <n v="62"/>
        <n v="51"/>
      </sharedItems>
    </cacheField>
    <cacheField name="registered" numFmtId="0">
      <sharedItems containsSemiMixedTypes="0" containsString="0" containsNumber="1" containsInteger="1" minValue="0" maxValue="247" count="186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  <n v="147"/>
        <n v="84"/>
        <n v="88"/>
        <n v="104"/>
        <n v="182"/>
        <n v="112"/>
        <n v="114"/>
        <n v="172"/>
        <n v="165"/>
        <n v="105"/>
        <n v="183"/>
        <n v="175"/>
        <n v="170"/>
        <n v="217"/>
        <n v="91"/>
        <n v="195"/>
        <n v="152"/>
        <n v="126"/>
        <n v="115"/>
        <n v="223"/>
        <n v="123"/>
        <n v="236"/>
        <n v="128"/>
        <n v="198"/>
        <n v="157"/>
        <n v="168"/>
        <n v="99"/>
        <n v="173"/>
        <n v="121"/>
        <n v="212"/>
        <n v="111"/>
        <n v="193"/>
        <n v="113"/>
        <n v="122"/>
        <n v="106"/>
        <n v="96"/>
      </sharedItems>
    </cacheField>
    <cacheField name="cnt" numFmtId="0">
      <sharedItems containsSemiMixedTypes="0" containsString="0" containsNumber="1" containsInteger="1" minValue="1" maxValue="249" count="191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  <n v="149"/>
        <n v="107"/>
        <n v="156"/>
        <n v="111"/>
        <n v="135"/>
        <n v="176"/>
        <n v="168"/>
        <n v="175"/>
        <n v="147"/>
        <n v="220"/>
        <n v="127"/>
        <n v="205"/>
        <n v="174"/>
        <n v="121"/>
        <n v="230"/>
        <n v="66"/>
        <n v="114"/>
        <n v="216"/>
        <n v="243"/>
        <n v="199"/>
        <n v="170"/>
        <n v="165"/>
        <n v="160"/>
        <n v="140"/>
        <n v="211"/>
        <n v="145"/>
      </sharedItems>
    </cacheField>
    <cacheField name="Days (dteday)" numFmtId="0" databaseField="0">
      <fieldGroup base="1">
        <rangePr groupBy="days" startDate="2011-01-01T00:00:00" endDate="2011-02-15T00:00:00"/>
        <groupItems count="368">
          <s v="&lt;1/1/201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5/2011"/>
        </groupItems>
      </fieldGroup>
    </cacheField>
    <cacheField name="Months (dteday)" numFmtId="0" databaseField="0">
      <fieldGroup base="1">
        <rangePr groupBy="months" startDate="2011-01-01T00:00:00" endDate="2011-02-15T00:00:00"/>
        <groupItems count="14">
          <s v="&lt;1/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5/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pin kumar" refreshedDate="46300.871409375002" backgroundQuery="1" createdVersion="8" refreshedVersion="8" minRefreshableVersion="3" recordCount="0" supportSubquery="1" supportAdvancedDrill="1" xr:uid="{CFC1288A-33BD-4638-8C7E-7D396B25C4B8}">
  <cacheSource type="external" connectionId="32"/>
  <cacheFields count="4">
    <cacheField name="[Measures].[Sum of hr]" caption="Sum of hr" numFmtId="0" hierarchy="35" level="32767"/>
    <cacheField name="[Measures].[Sum of season]" caption="Sum of season" numFmtId="0" hierarchy="36" level="32767"/>
    <cacheField name="[Measures].[Sum of cnt]" caption="Sum of cnt" numFmtId="0" hierarchy="37" level="32767"/>
    <cacheField name="[Measures].[Sum of registered]" caption="Sum of registered" numFmtId="0" hierarchy="38" level="32767"/>
  </cacheFields>
  <cacheHierarchies count="39">
    <cacheHierarchy uniqueName="[power_query_data_1].[instant]" caption="instant" attribute="1" defaultMemberUniqueName="[power_query_data_1].[instant].[All]" allUniqueName="[power_query_data_1].[instant].[All]" dimensionUniqueName="[power_query_data_1]" displayFolder="" count="0" memberValueDatatype="20" unbalanced="0"/>
    <cacheHierarchy uniqueName="[power_query_data_1].[dteday]" caption="dteday" attribute="1" time="1" defaultMemberUniqueName="[power_query_data_1].[dteday].[All]" allUniqueName="[power_query_data_1].[dteday].[All]" dimensionUniqueName="[power_query_data_1]" displayFolder="" count="0" memberValueDatatype="7" unbalanced="0"/>
    <cacheHierarchy uniqueName="[power_query_data_1].[season]" caption="season" attribute="1" defaultMemberUniqueName="[power_query_data_1].[season].[All]" allUniqueName="[power_query_data_1].[season].[All]" dimensionUniqueName="[power_query_data_1]" displayFolder="" count="0" memberValueDatatype="20" unbalanced="0"/>
    <cacheHierarchy uniqueName="[power_query_data_1].[yr]" caption="yr" attribute="1" defaultMemberUniqueName="[power_query_data_1].[yr].[All]" allUniqueName="[power_query_data_1].[yr].[All]" dimensionUniqueName="[power_query_data_1]" displayFolder="" count="0" memberValueDatatype="20" unbalanced="0"/>
    <cacheHierarchy uniqueName="[power_query_data_1].[mnth]" caption="mnth" attribute="1" defaultMemberUniqueName="[power_query_data_1].[mnth].[All]" allUniqueName="[power_query_data_1].[mnth].[All]" dimensionUniqueName="[power_query_data_1]" displayFolder="" count="0" memberValueDatatype="20" unbalanced="0"/>
    <cacheHierarchy uniqueName="[power_query_data_1].[hr]" caption="hr" attribute="1" defaultMemberUniqueName="[power_query_data_1].[hr].[All]" allUniqueName="[power_query_data_1].[hr].[All]" dimensionUniqueName="[power_query_data_1]" displayFolder="" count="0" memberValueDatatype="20" unbalanced="0"/>
    <cacheHierarchy uniqueName="[power_query_data_1].[holiday]" caption="holiday" attribute="1" defaultMemberUniqueName="[power_query_data_1].[holiday].[All]" allUniqueName="[power_query_data_1].[holiday].[All]" dimensionUniqueName="[power_query_data_1]" displayFolder="" count="0" memberValueDatatype="20" unbalanced="0"/>
    <cacheHierarchy uniqueName="[power_query_data_1].[weekday]" caption="weekday" attribute="1" defaultMemberUniqueName="[power_query_data_1].[weekday].[All]" allUniqueName="[power_query_data_1].[weekday].[All]" dimensionUniqueName="[power_query_data_1]" displayFolder="" count="0" memberValueDatatype="20" unbalanced="0"/>
    <cacheHierarchy uniqueName="[power_query_data_1].[workingday]" caption="workingday" attribute="1" defaultMemberUniqueName="[power_query_data_1].[workingday].[All]" allUniqueName="[power_query_data_1].[workingday].[All]" dimensionUniqueName="[power_query_data_1]" displayFolder="" count="0" memberValueDatatype="20" unbalanced="0"/>
    <cacheHierarchy uniqueName="[power_query_data_1].[weathersit]" caption="weathersit" attribute="1" defaultMemberUniqueName="[power_query_data_1].[weathersit].[All]" allUniqueName="[power_query_data_1].[weathersit].[All]" dimensionUniqueName="[power_query_data_1]" displayFolder="" count="0" memberValueDatatype="20" unbalanced="0"/>
    <cacheHierarchy uniqueName="[power_query_data_1].[temp]" caption="temp" attribute="1" defaultMemberUniqueName="[power_query_data_1].[temp].[All]" allUniqueName="[power_query_data_1].[temp].[All]" dimensionUniqueName="[power_query_data_1]" displayFolder="" count="0" memberValueDatatype="5" unbalanced="0"/>
    <cacheHierarchy uniqueName="[project_power_query].[instant]" caption="instant" attribute="1" defaultMemberUniqueName="[project_power_query].[instant].[All]" allUniqueName="[project_power_query].[instant].[All]" dimensionUniqueName="[project_power_query]" displayFolder="" count="0" memberValueDatatype="20" unbalanced="0"/>
    <cacheHierarchy uniqueName="[project_power_query].[dteday]" caption="dteday" attribute="1" time="1" defaultMemberUniqueName="[project_power_query].[dteday].[All]" allUniqueName="[project_power_query].[dteday].[All]" dimensionUniqueName="[project_power_query]" displayFolder="" count="0" memberValueDatatype="7" unbalanced="0"/>
    <cacheHierarchy uniqueName="[project_power_query].[season]" caption="season" attribute="1" defaultMemberUniqueName="[project_power_query].[season].[All]" allUniqueName="[project_power_query].[season].[All]" dimensionUniqueName="[project_power_query]" displayFolder="" count="0" memberValueDatatype="20" unbalanced="0"/>
    <cacheHierarchy uniqueName="[project_power_query].[yr]" caption="yr" attribute="1" defaultMemberUniqueName="[project_power_query].[yr].[All]" allUniqueName="[project_power_query].[yr].[All]" dimensionUniqueName="[project_power_query]" displayFolder="" count="0" memberValueDatatype="20" unbalanced="0"/>
    <cacheHierarchy uniqueName="[project_power_query].[mnth]" caption="mnth" attribute="1" defaultMemberUniqueName="[project_power_query].[mnth].[All]" allUniqueName="[project_power_query].[mnth].[All]" dimensionUniqueName="[project_power_query]" displayFolder="" count="0" memberValueDatatype="20" unbalanced="0"/>
    <cacheHierarchy uniqueName="[project_power_query].[hr]" caption="hr" attribute="1" defaultMemberUniqueName="[project_power_query].[hr].[All]" allUniqueName="[project_power_query].[hr].[All]" dimensionUniqueName="[project_power_query]" displayFolder="" count="0" memberValueDatatype="20" unbalanced="0"/>
    <cacheHierarchy uniqueName="[project_power_query].[holiday]" caption="holiday" attribute="1" defaultMemberUniqueName="[project_power_query].[holiday].[All]" allUniqueName="[project_power_query].[holiday].[All]" dimensionUniqueName="[project_power_query]" displayFolder="" count="0" memberValueDatatype="20" unbalanced="0"/>
    <cacheHierarchy uniqueName="[project_power_query].[weekday]" caption="weekday" attribute="1" defaultMemberUniqueName="[project_power_query].[weekday].[All]" allUniqueName="[project_power_query].[weekday].[All]" dimensionUniqueName="[project_power_query]" displayFolder="" count="0" memberValueDatatype="20" unbalanced="0"/>
    <cacheHierarchy uniqueName="[project_power_query].[workingday]" caption="workingday" attribute="1" defaultMemberUniqueName="[project_power_query].[workingday].[All]" allUniqueName="[project_power_query].[workingday].[All]" dimensionUniqueName="[project_power_query]" displayFolder="" count="0" memberValueDatatype="20" unbalanced="0"/>
    <cacheHierarchy uniqueName="[project_power_query].[weathersit]" caption="weathersit" attribute="1" defaultMemberUniqueName="[project_power_query].[weathersit].[All]" allUniqueName="[project_power_query].[weathersit].[All]" dimensionUniqueName="[project_power_query]" displayFolder="" count="0" memberValueDatatype="20" unbalanced="0"/>
    <cacheHierarchy uniqueName="[project_power_query].[temp]" caption="temp" attribute="1" defaultMemberUniqueName="[project_power_query].[temp].[All]" allUniqueName="[project_power_query].[temp].[All]" dimensionUniqueName="[project_power_query]" displayFolder="" count="0" memberValueDatatype="5" unbalanced="0"/>
    <cacheHierarchy uniqueName="[project_power_query].[atemp]" caption="atemp" attribute="1" defaultMemberUniqueName="[project_power_query].[atemp].[All]" allUniqueName="[project_power_query].[atemp].[All]" dimensionUniqueName="[project_power_query]" displayFolder="" count="0" memberValueDatatype="5" unbalanced="0"/>
    <cacheHierarchy uniqueName="[project_power_query].[hum]" caption="hum" attribute="1" defaultMemberUniqueName="[project_power_query].[hum].[All]" allUniqueName="[project_power_query].[hum].[All]" dimensionUniqueName="[project_power_query]" displayFolder="" count="0" memberValueDatatype="5" unbalanced="0"/>
    <cacheHierarchy uniqueName="[project_power_query].[windspeed]" caption="windspeed" attribute="1" defaultMemberUniqueName="[project_power_query].[windspeed].[All]" allUniqueName="[project_power_query].[windspeed].[All]" dimensionUniqueName="[project_power_query]" displayFolder="" count="0" memberValueDatatype="5" unbalanced="0"/>
    <cacheHierarchy uniqueName="[project_power_query].[casual]" caption="casual" attribute="1" defaultMemberUniqueName="[project_power_query].[casual].[All]" allUniqueName="[project_power_query].[casual].[All]" dimensionUniqueName="[project_power_query]" displayFolder="" count="0" memberValueDatatype="20" unbalanced="0"/>
    <cacheHierarchy uniqueName="[project_power_query].[registered]" caption="registered" attribute="1" defaultMemberUniqueName="[project_power_query].[registered].[All]" allUniqueName="[project_power_query].[registered].[All]" dimensionUniqueName="[project_power_query]" displayFolder="" count="0" memberValueDatatype="20" unbalanced="0"/>
    <cacheHierarchy uniqueName="[project_power_query].[cnt]" caption="cnt" attribute="1" defaultMemberUniqueName="[project_power_query].[cnt].[All]" allUniqueName="[project_power_query].[cnt].[All]" dimensionUniqueName="[project_power_query]" displayFolder="" count="0" memberValueDatatype="20" unbalanced="0"/>
    <cacheHierarchy uniqueName="[project_power_query].[dteday (Month)]" caption="dteday (Month)" attribute="1" defaultMemberUniqueName="[project_power_query].[dteday (Month)].[All]" allUniqueName="[project_power_query].[dteday (Month)].[All]" dimensionUniqueName="[project_power_query]" displayFolder="" count="0" memberValueDatatype="130" unbalanced="0"/>
    <cacheHierarchy uniqueName="[Range].[hr]" caption="hr" attribute="1" defaultMemberUniqueName="[Range].[hr].[All]" allUniqueName="[Range].[hr].[All]" dimensionUniqueName="[Range]" displayFolder="" count="0" memberValueDatatype="20" unbalanced="0"/>
    <cacheHierarchy uniqueName="[project_power_query].[dteday (Month Index)]" caption="dteday (Month Index)" attribute="1" defaultMemberUniqueName="[project_power_query].[dteday (Month Index)].[All]" allUniqueName="[project_power_query].[dteday (Month Index)].[All]" dimensionUniqueName="[project_power_query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project_power_query]" caption="__XL_Count project_power_query" measure="1" displayFolder="" measureGroup="project_power_query" count="0" hidden="1"/>
    <cacheHierarchy uniqueName="[Measures].[__XL_Count power_query_data_1]" caption="__XL_Count power_query_data_1" measure="1" displayFolder="" measureGroup="power_query_data_1" count="0" hidden="1"/>
    <cacheHierarchy uniqueName="[Measures].[__No measures defined]" caption="__No measures defined" measure="1" displayFolder="" count="0" hidden="1"/>
    <cacheHierarchy uniqueName="[Measures].[Sum of hr]" caption="Sum of h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eason]" caption="Sum of season" measure="1" displayFolder="" measureGroup="power_query_data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nt]" caption="Sum of cnt" measure="1" displayFolder="" measureGroup="project_power_que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gistered]" caption="Sum of registered" measure="1" displayFolder="" measureGroup="project_power_que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power_query_data_1" uniqueName="[power_query_data_1]" caption="power_query_data_1"/>
    <dimension name="project_power_query" uniqueName="[project_power_query]" caption="project_power_query"/>
    <dimension name="Range" uniqueName="[Range]" caption="Range"/>
  </dimensions>
  <measureGroups count="3">
    <measureGroup name="power_query_data_1" caption="power_query_data_1"/>
    <measureGroup name="project_power_query" caption="project_power_query"/>
    <measureGroup name="Range" caption="Rang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in kumar" refreshedDate="46305.629121759259" createdVersion="8" refreshedVersion="8" minRefreshableVersion="3" recordCount="1" xr:uid="{0EDC2F46-2896-42BE-AD50-0A7A82EEB33B}">
  <cacheSource type="worksheet">
    <worksheetSource ref="P7:R8" sheet="dashboard"/>
  </cacheSource>
  <cacheFields count="3">
    <cacheField name="Casul customer " numFmtId="0">
      <sharedItems containsSemiMixedTypes="0" containsString="0" containsNumber="1" containsInteger="1" minValue="62" maxValue="62"/>
    </cacheField>
    <cacheField name="Register" numFmtId="0">
      <sharedItems containsSemiMixedTypes="0" containsString="0" containsNumber="1" containsInteger="1" minValue="247" maxValue="247"/>
    </cacheField>
    <cacheField name="Total count" numFmtId="0">
      <sharedItems containsSemiMixedTypes="0" containsString="0" containsNumber="1" containsInteger="1" minValue="249" maxValue="249" count="1">
        <n v="24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in kumar" refreshedDate="46305.668962847223" createdVersion="8" refreshedVersion="8" minRefreshableVersion="3" recordCount="4" xr:uid="{D2F456FC-2F2D-4CAD-83E4-ACBF16B3E02C}">
  <cacheSource type="worksheet">
    <worksheetSource ref="T14:U18" sheet="data setA"/>
  </cacheSource>
  <cacheFields count="2">
    <cacheField name="riders according sesason" numFmtId="0">
      <sharedItems containsSemiMixedTypes="0" containsString="0" containsNumber="1" containsInteger="1" minValue="11" maxValue="48" count="4">
        <n v="48"/>
        <n v="30"/>
        <n v="29"/>
        <n v="11"/>
      </sharedItems>
    </cacheField>
    <cacheField name="Total no of sesaon" numFmtId="0">
      <sharedItems containsSemiMixedTypes="0" containsString="0" containsNumber="1" containsInteger="1" minValue="1" maxValue="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n v="0"/>
    <n v="6"/>
    <x v="0"/>
    <n v="0"/>
    <x v="0"/>
    <n v="0.28789999999999999"/>
    <x v="0"/>
    <n v="0"/>
    <x v="0"/>
    <x v="0"/>
    <x v="0"/>
  </r>
  <r>
    <n v="2"/>
    <x v="0"/>
    <x v="0"/>
    <x v="0"/>
    <x v="0"/>
    <x v="1"/>
    <n v="0"/>
    <n v="6"/>
    <x v="0"/>
    <n v="1"/>
    <x v="1"/>
    <n v="0.2727"/>
    <x v="1"/>
    <n v="0"/>
    <x v="1"/>
    <x v="1"/>
    <x v="1"/>
  </r>
  <r>
    <n v="3"/>
    <x v="0"/>
    <x v="0"/>
    <x v="0"/>
    <x v="0"/>
    <x v="2"/>
    <n v="0"/>
    <n v="6"/>
    <x v="0"/>
    <n v="1"/>
    <x v="1"/>
    <n v="0.2727"/>
    <x v="1"/>
    <n v="0"/>
    <x v="2"/>
    <x v="2"/>
    <x v="2"/>
  </r>
  <r>
    <n v="4"/>
    <x v="0"/>
    <x v="0"/>
    <x v="0"/>
    <x v="0"/>
    <x v="3"/>
    <n v="0"/>
    <n v="6"/>
    <x v="0"/>
    <n v="1"/>
    <x v="0"/>
    <n v="0.28789999999999999"/>
    <x v="2"/>
    <n v="0"/>
    <x v="0"/>
    <x v="3"/>
    <x v="3"/>
  </r>
  <r>
    <n v="5"/>
    <x v="0"/>
    <x v="0"/>
    <x v="0"/>
    <x v="0"/>
    <x v="4"/>
    <n v="0"/>
    <n v="6"/>
    <x v="0"/>
    <n v="1"/>
    <x v="0"/>
    <n v="0.28789999999999999"/>
    <x v="2"/>
    <n v="0"/>
    <x v="3"/>
    <x v="4"/>
    <x v="4"/>
  </r>
  <r>
    <n v="6"/>
    <x v="0"/>
    <x v="0"/>
    <x v="0"/>
    <x v="0"/>
    <x v="5"/>
    <n v="0"/>
    <n v="6"/>
    <x v="0"/>
    <n v="2"/>
    <x v="0"/>
    <n v="0.2576"/>
    <x v="2"/>
    <n v="8.9599999999999999E-2"/>
    <x v="3"/>
    <x v="4"/>
    <x v="4"/>
  </r>
  <r>
    <n v="7"/>
    <x v="0"/>
    <x v="0"/>
    <x v="0"/>
    <x v="0"/>
    <x v="6"/>
    <n v="0"/>
    <n v="6"/>
    <x v="0"/>
    <n v="1"/>
    <x v="1"/>
    <n v="0.2727"/>
    <x v="1"/>
    <n v="0"/>
    <x v="4"/>
    <x v="5"/>
    <x v="5"/>
  </r>
  <r>
    <n v="8"/>
    <x v="0"/>
    <x v="0"/>
    <x v="0"/>
    <x v="0"/>
    <x v="7"/>
    <n v="0"/>
    <n v="6"/>
    <x v="0"/>
    <n v="1"/>
    <x v="2"/>
    <n v="0.2576"/>
    <x v="3"/>
    <n v="0"/>
    <x v="5"/>
    <x v="6"/>
    <x v="6"/>
  </r>
  <r>
    <n v="9"/>
    <x v="0"/>
    <x v="0"/>
    <x v="0"/>
    <x v="0"/>
    <x v="8"/>
    <n v="0"/>
    <n v="6"/>
    <x v="0"/>
    <n v="1"/>
    <x v="0"/>
    <n v="0.30299999999999999"/>
    <x v="2"/>
    <n v="0"/>
    <x v="5"/>
    <x v="7"/>
    <x v="7"/>
  </r>
  <r>
    <n v="10"/>
    <x v="0"/>
    <x v="0"/>
    <x v="0"/>
    <x v="0"/>
    <x v="9"/>
    <n v="0"/>
    <n v="6"/>
    <x v="0"/>
    <n v="1"/>
    <x v="3"/>
    <n v="0.34849999999999998"/>
    <x v="4"/>
    <n v="0"/>
    <x v="1"/>
    <x v="8"/>
    <x v="8"/>
  </r>
  <r>
    <n v="11"/>
    <x v="0"/>
    <x v="0"/>
    <x v="0"/>
    <x v="0"/>
    <x v="10"/>
    <n v="0"/>
    <n v="6"/>
    <x v="0"/>
    <n v="1"/>
    <x v="4"/>
    <n v="0.39389999999999997"/>
    <x v="4"/>
    <n v="0.25369999999999998"/>
    <x v="6"/>
    <x v="9"/>
    <x v="9"/>
  </r>
  <r>
    <n v="12"/>
    <x v="0"/>
    <x v="0"/>
    <x v="0"/>
    <x v="0"/>
    <x v="11"/>
    <n v="0"/>
    <n v="6"/>
    <x v="0"/>
    <n v="1"/>
    <x v="5"/>
    <n v="0.33329999999999999"/>
    <x v="0"/>
    <n v="0.28360000000000002"/>
    <x v="7"/>
    <x v="10"/>
    <x v="10"/>
  </r>
  <r>
    <n v="13"/>
    <x v="0"/>
    <x v="0"/>
    <x v="0"/>
    <x v="0"/>
    <x v="12"/>
    <n v="0"/>
    <n v="6"/>
    <x v="0"/>
    <n v="1"/>
    <x v="6"/>
    <n v="0.42420000000000002"/>
    <x v="5"/>
    <n v="0.28360000000000002"/>
    <x v="8"/>
    <x v="11"/>
    <x v="11"/>
  </r>
  <r>
    <n v="14"/>
    <x v="0"/>
    <x v="0"/>
    <x v="0"/>
    <x v="0"/>
    <x v="13"/>
    <n v="0"/>
    <n v="6"/>
    <x v="0"/>
    <n v="2"/>
    <x v="7"/>
    <n v="0.45450000000000002"/>
    <x v="6"/>
    <n v="0.29849999999999999"/>
    <x v="9"/>
    <x v="12"/>
    <x v="12"/>
  </r>
  <r>
    <n v="15"/>
    <x v="0"/>
    <x v="0"/>
    <x v="0"/>
    <x v="0"/>
    <x v="14"/>
    <n v="0"/>
    <n v="6"/>
    <x v="0"/>
    <n v="2"/>
    <x v="7"/>
    <n v="0.45450000000000002"/>
    <x v="6"/>
    <n v="0.28360000000000002"/>
    <x v="10"/>
    <x v="13"/>
    <x v="13"/>
  </r>
  <r>
    <n v="16"/>
    <x v="0"/>
    <x v="0"/>
    <x v="0"/>
    <x v="0"/>
    <x v="15"/>
    <n v="0"/>
    <n v="6"/>
    <x v="0"/>
    <n v="2"/>
    <x v="8"/>
    <n v="0.43940000000000001"/>
    <x v="5"/>
    <n v="0.29849999999999999"/>
    <x v="11"/>
    <x v="14"/>
    <x v="14"/>
  </r>
  <r>
    <n v="17"/>
    <x v="0"/>
    <x v="0"/>
    <x v="0"/>
    <x v="0"/>
    <x v="16"/>
    <n v="0"/>
    <n v="6"/>
    <x v="0"/>
    <n v="2"/>
    <x v="6"/>
    <n v="0.42420000000000002"/>
    <x v="7"/>
    <n v="0.29849999999999999"/>
    <x v="12"/>
    <x v="15"/>
    <x v="15"/>
  </r>
  <r>
    <n v="18"/>
    <x v="0"/>
    <x v="0"/>
    <x v="0"/>
    <x v="0"/>
    <x v="17"/>
    <n v="0"/>
    <n v="6"/>
    <x v="0"/>
    <n v="2"/>
    <x v="8"/>
    <n v="0.42420000000000002"/>
    <x v="7"/>
    <n v="0.28360000000000002"/>
    <x v="13"/>
    <x v="15"/>
    <x v="16"/>
  </r>
  <r>
    <n v="19"/>
    <x v="0"/>
    <x v="0"/>
    <x v="0"/>
    <x v="0"/>
    <x v="18"/>
    <n v="0"/>
    <n v="6"/>
    <x v="0"/>
    <n v="3"/>
    <x v="6"/>
    <n v="0.42420000000000002"/>
    <x v="8"/>
    <n v="0.25369999999999998"/>
    <x v="14"/>
    <x v="16"/>
    <x v="17"/>
  </r>
  <r>
    <n v="20"/>
    <x v="0"/>
    <x v="0"/>
    <x v="0"/>
    <x v="0"/>
    <x v="19"/>
    <n v="0"/>
    <n v="6"/>
    <x v="0"/>
    <n v="3"/>
    <x v="6"/>
    <n v="0.42420000000000002"/>
    <x v="8"/>
    <n v="0.25369999999999998"/>
    <x v="15"/>
    <x v="17"/>
    <x v="18"/>
  </r>
  <r>
    <n v="21"/>
    <x v="0"/>
    <x v="0"/>
    <x v="0"/>
    <x v="0"/>
    <x v="20"/>
    <n v="0"/>
    <n v="6"/>
    <x v="0"/>
    <n v="2"/>
    <x v="9"/>
    <n v="0.40910000000000002"/>
    <x v="9"/>
    <n v="0.25369999999999998"/>
    <x v="16"/>
    <x v="18"/>
    <x v="9"/>
  </r>
  <r>
    <n v="22"/>
    <x v="0"/>
    <x v="0"/>
    <x v="0"/>
    <x v="0"/>
    <x v="21"/>
    <n v="0"/>
    <n v="6"/>
    <x v="0"/>
    <n v="2"/>
    <x v="9"/>
    <n v="0.40910000000000002"/>
    <x v="9"/>
    <n v="0.19400000000000001"/>
    <x v="0"/>
    <x v="17"/>
    <x v="19"/>
  </r>
  <r>
    <n v="23"/>
    <x v="0"/>
    <x v="0"/>
    <x v="0"/>
    <x v="0"/>
    <x v="22"/>
    <n v="0"/>
    <n v="6"/>
    <x v="0"/>
    <n v="2"/>
    <x v="9"/>
    <n v="0.40910000000000002"/>
    <x v="10"/>
    <n v="0.22389999999999999"/>
    <x v="16"/>
    <x v="19"/>
    <x v="20"/>
  </r>
  <r>
    <n v="24"/>
    <x v="0"/>
    <x v="0"/>
    <x v="0"/>
    <x v="0"/>
    <x v="23"/>
    <n v="0"/>
    <n v="6"/>
    <x v="0"/>
    <n v="2"/>
    <x v="7"/>
    <n v="0.42420000000000002"/>
    <x v="8"/>
    <n v="0.29849999999999999"/>
    <x v="13"/>
    <x v="9"/>
    <x v="21"/>
  </r>
  <r>
    <n v="25"/>
    <x v="1"/>
    <x v="0"/>
    <x v="0"/>
    <x v="0"/>
    <x v="0"/>
    <n v="0"/>
    <n v="0"/>
    <x v="0"/>
    <n v="2"/>
    <x v="7"/>
    <n v="0.45450000000000002"/>
    <x v="8"/>
    <n v="0.29849999999999999"/>
    <x v="17"/>
    <x v="0"/>
    <x v="22"/>
  </r>
  <r>
    <n v="26"/>
    <x v="1"/>
    <x v="0"/>
    <x v="0"/>
    <x v="0"/>
    <x v="1"/>
    <n v="0"/>
    <n v="0"/>
    <x v="0"/>
    <n v="2"/>
    <x v="8"/>
    <n v="0.43940000000000001"/>
    <x v="10"/>
    <n v="0.25369999999999998"/>
    <x v="5"/>
    <x v="20"/>
    <x v="22"/>
  </r>
  <r>
    <n v="27"/>
    <x v="1"/>
    <x v="0"/>
    <x v="0"/>
    <x v="0"/>
    <x v="2"/>
    <n v="0"/>
    <n v="0"/>
    <x v="0"/>
    <n v="2"/>
    <x v="6"/>
    <n v="0.42420000000000002"/>
    <x v="11"/>
    <n v="0.28360000000000002"/>
    <x v="5"/>
    <x v="21"/>
    <x v="23"/>
  </r>
  <r>
    <n v="28"/>
    <x v="1"/>
    <x v="0"/>
    <x v="0"/>
    <x v="0"/>
    <x v="3"/>
    <n v="0"/>
    <n v="0"/>
    <x v="0"/>
    <n v="2"/>
    <x v="7"/>
    <n v="0.45450000000000002"/>
    <x v="10"/>
    <n v="0.19400000000000001"/>
    <x v="4"/>
    <x v="22"/>
    <x v="24"/>
  </r>
  <r>
    <n v="29"/>
    <x v="1"/>
    <x v="0"/>
    <x v="0"/>
    <x v="0"/>
    <x v="4"/>
    <n v="0"/>
    <n v="0"/>
    <x v="0"/>
    <n v="2"/>
    <x v="7"/>
    <n v="0.43940000000000001"/>
    <x v="10"/>
    <n v="0.19400000000000001"/>
    <x v="4"/>
    <x v="4"/>
    <x v="6"/>
  </r>
  <r>
    <n v="30"/>
    <x v="1"/>
    <x v="0"/>
    <x v="0"/>
    <x v="0"/>
    <x v="6"/>
    <n v="0"/>
    <n v="0"/>
    <x v="0"/>
    <n v="3"/>
    <x v="6"/>
    <n v="0.42420000000000002"/>
    <x v="5"/>
    <n v="0.29849999999999999"/>
    <x v="3"/>
    <x v="6"/>
    <x v="5"/>
  </r>
  <r>
    <n v="31"/>
    <x v="1"/>
    <x v="0"/>
    <x v="0"/>
    <x v="0"/>
    <x v="7"/>
    <n v="0"/>
    <n v="0"/>
    <x v="0"/>
    <n v="2"/>
    <x v="9"/>
    <n v="0.40910000000000002"/>
    <x v="4"/>
    <n v="0.19400000000000001"/>
    <x v="3"/>
    <x v="4"/>
    <x v="4"/>
  </r>
  <r>
    <n v="32"/>
    <x v="1"/>
    <x v="0"/>
    <x v="0"/>
    <x v="0"/>
    <x v="8"/>
    <n v="0"/>
    <n v="0"/>
    <x v="0"/>
    <n v="3"/>
    <x v="9"/>
    <n v="0.40910000000000002"/>
    <x v="12"/>
    <n v="0.22389999999999999"/>
    <x v="3"/>
    <x v="21"/>
    <x v="7"/>
  </r>
  <r>
    <n v="33"/>
    <x v="1"/>
    <x v="0"/>
    <x v="0"/>
    <x v="0"/>
    <x v="9"/>
    <n v="0"/>
    <n v="0"/>
    <x v="0"/>
    <n v="2"/>
    <x v="4"/>
    <n v="0.39389999999999997"/>
    <x v="4"/>
    <n v="0.22389999999999999"/>
    <x v="5"/>
    <x v="23"/>
    <x v="25"/>
  </r>
  <r>
    <n v="34"/>
    <x v="1"/>
    <x v="0"/>
    <x v="0"/>
    <x v="0"/>
    <x v="10"/>
    <n v="0"/>
    <n v="0"/>
    <x v="0"/>
    <n v="2"/>
    <x v="5"/>
    <n v="0.34849999999999998"/>
    <x v="0"/>
    <n v="0.22389999999999999"/>
    <x v="18"/>
    <x v="24"/>
    <x v="26"/>
  </r>
  <r>
    <n v="35"/>
    <x v="1"/>
    <x v="0"/>
    <x v="0"/>
    <x v="0"/>
    <x v="11"/>
    <n v="0"/>
    <n v="0"/>
    <x v="0"/>
    <n v="2"/>
    <x v="5"/>
    <n v="0.33329999999999999"/>
    <x v="12"/>
    <n v="0.25369999999999998"/>
    <x v="19"/>
    <x v="25"/>
    <x v="27"/>
  </r>
  <r>
    <n v="36"/>
    <x v="1"/>
    <x v="0"/>
    <x v="0"/>
    <x v="0"/>
    <x v="12"/>
    <n v="0"/>
    <n v="0"/>
    <x v="0"/>
    <n v="2"/>
    <x v="5"/>
    <n v="0.33329999999999999"/>
    <x v="13"/>
    <n v="0.29849999999999999"/>
    <x v="20"/>
    <x v="26"/>
    <x v="15"/>
  </r>
  <r>
    <n v="37"/>
    <x v="1"/>
    <x v="0"/>
    <x v="0"/>
    <x v="0"/>
    <x v="13"/>
    <n v="0"/>
    <n v="0"/>
    <x v="0"/>
    <n v="2"/>
    <x v="5"/>
    <n v="0.34849999999999998"/>
    <x v="13"/>
    <n v="0.1343"/>
    <x v="16"/>
    <x v="27"/>
    <x v="28"/>
  </r>
  <r>
    <n v="38"/>
    <x v="1"/>
    <x v="0"/>
    <x v="0"/>
    <x v="0"/>
    <x v="14"/>
    <n v="0"/>
    <n v="0"/>
    <x v="0"/>
    <n v="3"/>
    <x v="5"/>
    <n v="0.33329999999999999"/>
    <x v="4"/>
    <n v="0.19400000000000001"/>
    <x v="17"/>
    <x v="11"/>
    <x v="29"/>
  </r>
  <r>
    <n v="39"/>
    <x v="1"/>
    <x v="0"/>
    <x v="0"/>
    <x v="0"/>
    <x v="15"/>
    <n v="0"/>
    <n v="0"/>
    <x v="0"/>
    <n v="3"/>
    <x v="10"/>
    <n v="0.33329999999999999"/>
    <x v="0"/>
    <n v="0.16420000000000001"/>
    <x v="21"/>
    <x v="11"/>
    <x v="30"/>
  </r>
  <r>
    <n v="40"/>
    <x v="1"/>
    <x v="0"/>
    <x v="0"/>
    <x v="0"/>
    <x v="16"/>
    <n v="0"/>
    <n v="0"/>
    <x v="0"/>
    <n v="3"/>
    <x v="10"/>
    <n v="0.33329999999999999"/>
    <x v="12"/>
    <n v="0.16420000000000001"/>
    <x v="14"/>
    <x v="28"/>
    <x v="31"/>
  </r>
  <r>
    <n v="41"/>
    <x v="1"/>
    <x v="0"/>
    <x v="0"/>
    <x v="0"/>
    <x v="17"/>
    <n v="0"/>
    <n v="0"/>
    <x v="0"/>
    <n v="1"/>
    <x v="10"/>
    <n v="0.33329999999999999"/>
    <x v="14"/>
    <n v="0.19400000000000001"/>
    <x v="18"/>
    <x v="29"/>
    <x v="32"/>
  </r>
  <r>
    <n v="42"/>
    <x v="1"/>
    <x v="0"/>
    <x v="0"/>
    <x v="0"/>
    <x v="18"/>
    <n v="0"/>
    <n v="0"/>
    <x v="0"/>
    <n v="2"/>
    <x v="5"/>
    <n v="0.33329999999999999"/>
    <x v="15"/>
    <n v="0.32840000000000003"/>
    <x v="22"/>
    <x v="30"/>
    <x v="26"/>
  </r>
  <r>
    <n v="43"/>
    <x v="1"/>
    <x v="0"/>
    <x v="0"/>
    <x v="0"/>
    <x v="19"/>
    <n v="0"/>
    <n v="0"/>
    <x v="0"/>
    <n v="1"/>
    <x v="3"/>
    <n v="0.28789999999999999"/>
    <x v="16"/>
    <n v="0.44779999999999998"/>
    <x v="5"/>
    <x v="31"/>
    <x v="33"/>
  </r>
  <r>
    <n v="44"/>
    <x v="1"/>
    <x v="0"/>
    <x v="0"/>
    <x v="0"/>
    <x v="20"/>
    <n v="0"/>
    <n v="0"/>
    <x v="0"/>
    <n v="1"/>
    <x v="11"/>
    <n v="0.2576"/>
    <x v="17"/>
    <n v="0.35820000000000002"/>
    <x v="2"/>
    <x v="19"/>
    <x v="34"/>
  </r>
  <r>
    <n v="45"/>
    <x v="1"/>
    <x v="0"/>
    <x v="0"/>
    <x v="0"/>
    <x v="21"/>
    <n v="0"/>
    <n v="0"/>
    <x v="0"/>
    <n v="1"/>
    <x v="12"/>
    <n v="0.2273"/>
    <x v="18"/>
    <n v="0.32840000000000003"/>
    <x v="16"/>
    <x v="32"/>
    <x v="35"/>
  </r>
  <r>
    <n v="46"/>
    <x v="1"/>
    <x v="0"/>
    <x v="0"/>
    <x v="0"/>
    <x v="22"/>
    <n v="0"/>
    <n v="0"/>
    <x v="0"/>
    <n v="1"/>
    <x v="0"/>
    <n v="0.21210000000000001"/>
    <x v="18"/>
    <n v="0.29849999999999999"/>
    <x v="3"/>
    <x v="33"/>
    <x v="23"/>
  </r>
  <r>
    <n v="47"/>
    <x v="1"/>
    <x v="0"/>
    <x v="0"/>
    <x v="0"/>
    <x v="23"/>
    <n v="0"/>
    <n v="0"/>
    <x v="0"/>
    <n v="1"/>
    <x v="1"/>
    <n v="0.2273"/>
    <x v="19"/>
    <n v="0.16420000000000001"/>
    <x v="3"/>
    <x v="21"/>
    <x v="7"/>
  </r>
  <r>
    <n v="48"/>
    <x v="2"/>
    <x v="0"/>
    <x v="0"/>
    <x v="0"/>
    <x v="0"/>
    <n v="0"/>
    <n v="1"/>
    <x v="1"/>
    <n v="1"/>
    <x v="1"/>
    <n v="0.19700000000000001"/>
    <x v="18"/>
    <n v="0.35820000000000002"/>
    <x v="3"/>
    <x v="34"/>
    <x v="36"/>
  </r>
  <r>
    <n v="49"/>
    <x v="2"/>
    <x v="0"/>
    <x v="0"/>
    <x v="0"/>
    <x v="1"/>
    <n v="0"/>
    <n v="1"/>
    <x v="1"/>
    <n v="1"/>
    <x v="2"/>
    <n v="0.16669999999999999"/>
    <x v="18"/>
    <n v="0.41789999999999999"/>
    <x v="3"/>
    <x v="6"/>
    <x v="5"/>
  </r>
  <r>
    <n v="50"/>
    <x v="2"/>
    <x v="0"/>
    <x v="0"/>
    <x v="0"/>
    <x v="4"/>
    <n v="0"/>
    <n v="1"/>
    <x v="1"/>
    <n v="1"/>
    <x v="13"/>
    <n v="0.13639999999999999"/>
    <x v="19"/>
    <n v="0.3881"/>
    <x v="3"/>
    <x v="4"/>
    <x v="4"/>
  </r>
  <r>
    <n v="51"/>
    <x v="2"/>
    <x v="0"/>
    <x v="0"/>
    <x v="0"/>
    <x v="5"/>
    <n v="0"/>
    <n v="1"/>
    <x v="1"/>
    <n v="1"/>
    <x v="13"/>
    <n v="0.13639999999999999"/>
    <x v="19"/>
    <n v="0.28360000000000002"/>
    <x v="3"/>
    <x v="35"/>
    <x v="6"/>
  </r>
  <r>
    <n v="52"/>
    <x v="2"/>
    <x v="0"/>
    <x v="0"/>
    <x v="0"/>
    <x v="6"/>
    <n v="0"/>
    <n v="1"/>
    <x v="1"/>
    <n v="1"/>
    <x v="14"/>
    <n v="0.1061"/>
    <x v="20"/>
    <n v="0.3881"/>
    <x v="3"/>
    <x v="10"/>
    <x v="33"/>
  </r>
  <r>
    <n v="53"/>
    <x v="2"/>
    <x v="0"/>
    <x v="0"/>
    <x v="0"/>
    <x v="7"/>
    <n v="0"/>
    <n v="1"/>
    <x v="1"/>
    <n v="1"/>
    <x v="14"/>
    <n v="0.13639999999999999"/>
    <x v="20"/>
    <n v="0.19400000000000001"/>
    <x v="5"/>
    <x v="36"/>
    <x v="37"/>
  </r>
  <r>
    <n v="54"/>
    <x v="2"/>
    <x v="0"/>
    <x v="0"/>
    <x v="0"/>
    <x v="8"/>
    <n v="0"/>
    <n v="1"/>
    <x v="1"/>
    <n v="1"/>
    <x v="14"/>
    <n v="0.1212"/>
    <x v="20"/>
    <n v="0.28360000000000002"/>
    <x v="5"/>
    <x v="37"/>
    <x v="38"/>
  </r>
  <r>
    <n v="55"/>
    <x v="2"/>
    <x v="0"/>
    <x v="0"/>
    <x v="0"/>
    <x v="9"/>
    <n v="0"/>
    <n v="1"/>
    <x v="1"/>
    <n v="1"/>
    <x v="13"/>
    <n v="0.13639999999999999"/>
    <x v="21"/>
    <n v="0.3881"/>
    <x v="18"/>
    <x v="38"/>
    <x v="39"/>
  </r>
  <r>
    <n v="56"/>
    <x v="2"/>
    <x v="0"/>
    <x v="0"/>
    <x v="0"/>
    <x v="10"/>
    <n v="0"/>
    <n v="1"/>
    <x v="1"/>
    <n v="1"/>
    <x v="15"/>
    <n v="0.16669999999999999"/>
    <x v="21"/>
    <n v="0.25369999999999998"/>
    <x v="16"/>
    <x v="39"/>
    <x v="40"/>
  </r>
  <r>
    <n v="57"/>
    <x v="2"/>
    <x v="0"/>
    <x v="0"/>
    <x v="0"/>
    <x v="11"/>
    <n v="0"/>
    <n v="1"/>
    <x v="1"/>
    <n v="1"/>
    <x v="2"/>
    <n v="0.18179999999999999"/>
    <x v="22"/>
    <n v="0.32840000000000003"/>
    <x v="22"/>
    <x v="40"/>
    <x v="41"/>
  </r>
  <r>
    <n v="58"/>
    <x v="2"/>
    <x v="0"/>
    <x v="0"/>
    <x v="0"/>
    <x v="12"/>
    <n v="0"/>
    <n v="1"/>
    <x v="1"/>
    <n v="1"/>
    <x v="1"/>
    <n v="0.21210000000000001"/>
    <x v="23"/>
    <n v="0.29849999999999999"/>
    <x v="23"/>
    <x v="41"/>
    <x v="42"/>
  </r>
  <r>
    <n v="59"/>
    <x v="2"/>
    <x v="0"/>
    <x v="0"/>
    <x v="0"/>
    <x v="13"/>
    <n v="0"/>
    <n v="1"/>
    <x v="1"/>
    <n v="1"/>
    <x v="0"/>
    <n v="0.2273"/>
    <x v="23"/>
    <n v="0.28360000000000002"/>
    <x v="1"/>
    <x v="42"/>
    <x v="42"/>
  </r>
  <r>
    <n v="60"/>
    <x v="2"/>
    <x v="0"/>
    <x v="0"/>
    <x v="0"/>
    <x v="14"/>
    <n v="0"/>
    <n v="1"/>
    <x v="1"/>
    <n v="1"/>
    <x v="12"/>
    <n v="0.2424"/>
    <x v="24"/>
    <n v="0.28360000000000002"/>
    <x v="16"/>
    <x v="43"/>
    <x v="43"/>
  </r>
  <r>
    <n v="61"/>
    <x v="2"/>
    <x v="0"/>
    <x v="0"/>
    <x v="0"/>
    <x v="15"/>
    <n v="0"/>
    <n v="1"/>
    <x v="1"/>
    <n v="1"/>
    <x v="12"/>
    <n v="0.2424"/>
    <x v="24"/>
    <n v="0.25369999999999998"/>
    <x v="24"/>
    <x v="29"/>
    <x v="44"/>
  </r>
  <r>
    <n v="62"/>
    <x v="2"/>
    <x v="0"/>
    <x v="0"/>
    <x v="0"/>
    <x v="16"/>
    <n v="0"/>
    <n v="1"/>
    <x v="1"/>
    <n v="1"/>
    <x v="12"/>
    <n v="0.2424"/>
    <x v="24"/>
    <n v="0.25369999999999998"/>
    <x v="14"/>
    <x v="28"/>
    <x v="31"/>
  </r>
  <r>
    <n v="63"/>
    <x v="2"/>
    <x v="0"/>
    <x v="0"/>
    <x v="0"/>
    <x v="17"/>
    <n v="0"/>
    <n v="1"/>
    <x v="1"/>
    <n v="1"/>
    <x v="0"/>
    <n v="0.2273"/>
    <x v="24"/>
    <n v="0.22389999999999999"/>
    <x v="16"/>
    <x v="44"/>
    <x v="45"/>
  </r>
  <r>
    <n v="64"/>
    <x v="2"/>
    <x v="0"/>
    <x v="0"/>
    <x v="0"/>
    <x v="18"/>
    <n v="0"/>
    <n v="1"/>
    <x v="1"/>
    <n v="1"/>
    <x v="0"/>
    <n v="0.2576"/>
    <x v="25"/>
    <n v="0.1045"/>
    <x v="14"/>
    <x v="45"/>
    <x v="45"/>
  </r>
  <r>
    <n v="65"/>
    <x v="2"/>
    <x v="0"/>
    <x v="0"/>
    <x v="0"/>
    <x v="19"/>
    <n v="0"/>
    <n v="1"/>
    <x v="1"/>
    <n v="1"/>
    <x v="2"/>
    <n v="0.2576"/>
    <x v="19"/>
    <n v="0"/>
    <x v="1"/>
    <x v="46"/>
    <x v="14"/>
  </r>
  <r>
    <n v="66"/>
    <x v="2"/>
    <x v="0"/>
    <x v="0"/>
    <x v="0"/>
    <x v="20"/>
    <n v="0"/>
    <n v="1"/>
    <x v="1"/>
    <n v="1"/>
    <x v="2"/>
    <n v="0.2273"/>
    <x v="19"/>
    <n v="0.1045"/>
    <x v="0"/>
    <x v="47"/>
    <x v="46"/>
  </r>
  <r>
    <n v="67"/>
    <x v="2"/>
    <x v="0"/>
    <x v="0"/>
    <x v="0"/>
    <x v="21"/>
    <n v="0"/>
    <n v="1"/>
    <x v="1"/>
    <n v="1"/>
    <x v="15"/>
    <n v="0.19700000000000001"/>
    <x v="26"/>
    <n v="0.1343"/>
    <x v="0"/>
    <x v="47"/>
    <x v="46"/>
  </r>
  <r>
    <n v="68"/>
    <x v="2"/>
    <x v="0"/>
    <x v="0"/>
    <x v="0"/>
    <x v="22"/>
    <n v="0"/>
    <n v="1"/>
    <x v="1"/>
    <n v="1"/>
    <x v="14"/>
    <n v="0.1515"/>
    <x v="27"/>
    <n v="0.1343"/>
    <x v="3"/>
    <x v="32"/>
    <x v="25"/>
  </r>
  <r>
    <n v="69"/>
    <x v="2"/>
    <x v="0"/>
    <x v="0"/>
    <x v="0"/>
    <x v="23"/>
    <n v="0"/>
    <n v="1"/>
    <x v="1"/>
    <n v="1"/>
    <x v="15"/>
    <n v="0.21210000000000001"/>
    <x v="28"/>
    <n v="0.1045"/>
    <x v="5"/>
    <x v="48"/>
    <x v="47"/>
  </r>
  <r>
    <n v="70"/>
    <x v="3"/>
    <x v="0"/>
    <x v="0"/>
    <x v="0"/>
    <x v="0"/>
    <n v="0"/>
    <n v="2"/>
    <x v="1"/>
    <n v="1"/>
    <x v="13"/>
    <n v="0.19700000000000001"/>
    <x v="28"/>
    <n v="0.1045"/>
    <x v="3"/>
    <x v="34"/>
    <x v="36"/>
  </r>
  <r>
    <n v="71"/>
    <x v="3"/>
    <x v="0"/>
    <x v="0"/>
    <x v="0"/>
    <x v="1"/>
    <n v="0"/>
    <n v="2"/>
    <x v="1"/>
    <n v="1"/>
    <x v="13"/>
    <n v="0.18179999999999999"/>
    <x v="29"/>
    <n v="0.1045"/>
    <x v="3"/>
    <x v="6"/>
    <x v="5"/>
  </r>
  <r>
    <n v="72"/>
    <x v="3"/>
    <x v="0"/>
    <x v="0"/>
    <x v="0"/>
    <x v="2"/>
    <n v="0"/>
    <n v="2"/>
    <x v="1"/>
    <n v="1"/>
    <x v="14"/>
    <n v="0.1515"/>
    <x v="30"/>
    <n v="0.1343"/>
    <x v="3"/>
    <x v="4"/>
    <x v="4"/>
  </r>
  <r>
    <n v="73"/>
    <x v="3"/>
    <x v="0"/>
    <x v="0"/>
    <x v="0"/>
    <x v="4"/>
    <n v="0"/>
    <n v="2"/>
    <x v="1"/>
    <n v="1"/>
    <x v="14"/>
    <n v="0.18179999999999999"/>
    <x v="30"/>
    <n v="8.9599999999999999E-2"/>
    <x v="3"/>
    <x v="6"/>
    <x v="5"/>
  </r>
  <r>
    <n v="74"/>
    <x v="3"/>
    <x v="0"/>
    <x v="0"/>
    <x v="0"/>
    <x v="5"/>
    <n v="0"/>
    <n v="2"/>
    <x v="1"/>
    <n v="1"/>
    <x v="16"/>
    <n v="0.1515"/>
    <x v="31"/>
    <n v="0.1045"/>
    <x v="3"/>
    <x v="22"/>
    <x v="48"/>
  </r>
  <r>
    <n v="75"/>
    <x v="3"/>
    <x v="0"/>
    <x v="0"/>
    <x v="0"/>
    <x v="6"/>
    <n v="0"/>
    <n v="2"/>
    <x v="1"/>
    <n v="1"/>
    <x v="16"/>
    <n v="0.1515"/>
    <x v="32"/>
    <n v="0.1045"/>
    <x v="3"/>
    <x v="49"/>
    <x v="9"/>
  </r>
  <r>
    <n v="76"/>
    <x v="3"/>
    <x v="0"/>
    <x v="0"/>
    <x v="0"/>
    <x v="7"/>
    <n v="0"/>
    <n v="2"/>
    <x v="1"/>
    <n v="1"/>
    <x v="16"/>
    <n v="0.1515"/>
    <x v="32"/>
    <n v="0.1343"/>
    <x v="4"/>
    <x v="50"/>
    <x v="12"/>
  </r>
  <r>
    <n v="77"/>
    <x v="3"/>
    <x v="0"/>
    <x v="0"/>
    <x v="0"/>
    <x v="8"/>
    <n v="0"/>
    <n v="2"/>
    <x v="1"/>
    <n v="1"/>
    <x v="14"/>
    <n v="0.1515"/>
    <x v="27"/>
    <n v="0.16420000000000001"/>
    <x v="4"/>
    <x v="51"/>
    <x v="49"/>
  </r>
  <r>
    <n v="78"/>
    <x v="3"/>
    <x v="0"/>
    <x v="0"/>
    <x v="0"/>
    <x v="9"/>
    <n v="0"/>
    <n v="2"/>
    <x v="1"/>
    <n v="1"/>
    <x v="13"/>
    <n v="0.1515"/>
    <x v="26"/>
    <n v="0.22389999999999999"/>
    <x v="4"/>
    <x v="52"/>
    <x v="50"/>
  </r>
  <r>
    <n v="79"/>
    <x v="3"/>
    <x v="0"/>
    <x v="0"/>
    <x v="0"/>
    <x v="10"/>
    <n v="0"/>
    <n v="2"/>
    <x v="1"/>
    <n v="2"/>
    <x v="13"/>
    <n v="0.13639999999999999"/>
    <x v="27"/>
    <n v="0.32840000000000003"/>
    <x v="2"/>
    <x v="53"/>
    <x v="51"/>
  </r>
  <r>
    <n v="80"/>
    <x v="3"/>
    <x v="0"/>
    <x v="0"/>
    <x v="0"/>
    <x v="11"/>
    <n v="0"/>
    <n v="2"/>
    <x v="1"/>
    <n v="1"/>
    <x v="1"/>
    <n v="0.21210000000000001"/>
    <x v="33"/>
    <n v="0.29849999999999999"/>
    <x v="18"/>
    <x v="54"/>
    <x v="52"/>
  </r>
  <r>
    <n v="81"/>
    <x v="3"/>
    <x v="0"/>
    <x v="0"/>
    <x v="0"/>
    <x v="12"/>
    <n v="0"/>
    <n v="2"/>
    <x v="1"/>
    <n v="1"/>
    <x v="1"/>
    <n v="0.2273"/>
    <x v="33"/>
    <n v="0.16420000000000001"/>
    <x v="6"/>
    <x v="43"/>
    <x v="53"/>
  </r>
  <r>
    <n v="82"/>
    <x v="3"/>
    <x v="0"/>
    <x v="0"/>
    <x v="0"/>
    <x v="13"/>
    <n v="0"/>
    <n v="2"/>
    <x v="1"/>
    <n v="1"/>
    <x v="0"/>
    <n v="0.2273"/>
    <x v="34"/>
    <n v="0.19400000000000001"/>
    <x v="25"/>
    <x v="55"/>
    <x v="54"/>
  </r>
  <r>
    <n v="83"/>
    <x v="3"/>
    <x v="0"/>
    <x v="0"/>
    <x v="0"/>
    <x v="14"/>
    <n v="0"/>
    <n v="2"/>
    <x v="1"/>
    <n v="1"/>
    <x v="12"/>
    <n v="0.2576"/>
    <x v="35"/>
    <n v="0.22389999999999999"/>
    <x v="14"/>
    <x v="25"/>
    <x v="55"/>
  </r>
  <r>
    <n v="84"/>
    <x v="3"/>
    <x v="0"/>
    <x v="0"/>
    <x v="0"/>
    <x v="15"/>
    <n v="0"/>
    <n v="2"/>
    <x v="1"/>
    <n v="1"/>
    <x v="17"/>
    <n v="0.2727"/>
    <x v="35"/>
    <n v="0.25369999999999998"/>
    <x v="26"/>
    <x v="41"/>
    <x v="32"/>
  </r>
  <r>
    <n v="85"/>
    <x v="3"/>
    <x v="0"/>
    <x v="0"/>
    <x v="0"/>
    <x v="16"/>
    <n v="0"/>
    <n v="2"/>
    <x v="1"/>
    <n v="1"/>
    <x v="11"/>
    <n v="0.28789999999999999"/>
    <x v="36"/>
    <n v="0.25369999999999998"/>
    <x v="13"/>
    <x v="56"/>
    <x v="56"/>
  </r>
  <r>
    <n v="86"/>
    <x v="3"/>
    <x v="0"/>
    <x v="0"/>
    <x v="0"/>
    <x v="17"/>
    <n v="0"/>
    <n v="2"/>
    <x v="1"/>
    <n v="1"/>
    <x v="17"/>
    <n v="0.2727"/>
    <x v="37"/>
    <n v="0.22389999999999999"/>
    <x v="22"/>
    <x v="57"/>
    <x v="57"/>
  </r>
  <r>
    <n v="87"/>
    <x v="3"/>
    <x v="0"/>
    <x v="0"/>
    <x v="0"/>
    <x v="18"/>
    <n v="0"/>
    <n v="2"/>
    <x v="1"/>
    <n v="1"/>
    <x v="12"/>
    <n v="0.2576"/>
    <x v="37"/>
    <n v="0.19400000000000001"/>
    <x v="0"/>
    <x v="58"/>
    <x v="58"/>
  </r>
  <r>
    <n v="88"/>
    <x v="3"/>
    <x v="0"/>
    <x v="0"/>
    <x v="0"/>
    <x v="19"/>
    <n v="0"/>
    <n v="2"/>
    <x v="1"/>
    <n v="1"/>
    <x v="0"/>
    <n v="0.2576"/>
    <x v="37"/>
    <n v="0.1045"/>
    <x v="4"/>
    <x v="59"/>
    <x v="59"/>
  </r>
  <r>
    <n v="89"/>
    <x v="3"/>
    <x v="0"/>
    <x v="0"/>
    <x v="0"/>
    <x v="20"/>
    <n v="0"/>
    <n v="2"/>
    <x v="1"/>
    <n v="1"/>
    <x v="0"/>
    <n v="0.2576"/>
    <x v="37"/>
    <n v="0.1045"/>
    <x v="5"/>
    <x v="42"/>
    <x v="60"/>
  </r>
  <r>
    <n v="90"/>
    <x v="3"/>
    <x v="0"/>
    <x v="0"/>
    <x v="0"/>
    <x v="21"/>
    <n v="0"/>
    <n v="2"/>
    <x v="1"/>
    <n v="1"/>
    <x v="1"/>
    <n v="0.2727"/>
    <x v="26"/>
    <n v="0"/>
    <x v="3"/>
    <x v="41"/>
    <x v="61"/>
  </r>
  <r>
    <n v="91"/>
    <x v="3"/>
    <x v="0"/>
    <x v="0"/>
    <x v="0"/>
    <x v="22"/>
    <n v="0"/>
    <n v="2"/>
    <x v="1"/>
    <n v="1"/>
    <x v="1"/>
    <n v="0.2576"/>
    <x v="26"/>
    <n v="8.9599999999999999E-2"/>
    <x v="5"/>
    <x v="60"/>
    <x v="17"/>
  </r>
  <r>
    <n v="92"/>
    <x v="3"/>
    <x v="0"/>
    <x v="0"/>
    <x v="0"/>
    <x v="23"/>
    <n v="0"/>
    <n v="2"/>
    <x v="1"/>
    <n v="1"/>
    <x v="2"/>
    <n v="0.2273"/>
    <x v="27"/>
    <n v="8.9599999999999999E-2"/>
    <x v="4"/>
    <x v="33"/>
    <x v="62"/>
  </r>
  <r>
    <n v="93"/>
    <x v="4"/>
    <x v="0"/>
    <x v="0"/>
    <x v="0"/>
    <x v="0"/>
    <n v="0"/>
    <n v="3"/>
    <x v="1"/>
    <n v="1"/>
    <x v="2"/>
    <n v="0.2576"/>
    <x v="26"/>
    <n v="0"/>
    <x v="3"/>
    <x v="8"/>
    <x v="24"/>
  </r>
  <r>
    <n v="94"/>
    <x v="4"/>
    <x v="0"/>
    <x v="0"/>
    <x v="0"/>
    <x v="1"/>
    <n v="0"/>
    <n v="3"/>
    <x v="1"/>
    <n v="1"/>
    <x v="13"/>
    <n v="0.19700000000000001"/>
    <x v="32"/>
    <n v="8.9599999999999999E-2"/>
    <x v="3"/>
    <x v="8"/>
    <x v="24"/>
  </r>
  <r>
    <n v="95"/>
    <x v="4"/>
    <x v="0"/>
    <x v="0"/>
    <x v="0"/>
    <x v="2"/>
    <n v="0"/>
    <n v="3"/>
    <x v="1"/>
    <n v="1"/>
    <x v="13"/>
    <n v="0.19700000000000001"/>
    <x v="32"/>
    <n v="8.9599999999999999E-2"/>
    <x v="3"/>
    <x v="6"/>
    <x v="5"/>
  </r>
  <r>
    <n v="96"/>
    <x v="4"/>
    <x v="0"/>
    <x v="0"/>
    <x v="0"/>
    <x v="4"/>
    <n v="0"/>
    <n v="3"/>
    <x v="1"/>
    <n v="1"/>
    <x v="0"/>
    <n v="0.2273"/>
    <x v="37"/>
    <n v="0.22389999999999999"/>
    <x v="3"/>
    <x v="6"/>
    <x v="5"/>
  </r>
  <r>
    <n v="97"/>
    <x v="4"/>
    <x v="0"/>
    <x v="0"/>
    <x v="0"/>
    <x v="5"/>
    <n v="0"/>
    <n v="3"/>
    <x v="1"/>
    <n v="1"/>
    <x v="1"/>
    <n v="0.2273"/>
    <x v="19"/>
    <n v="0.16420000000000001"/>
    <x v="3"/>
    <x v="35"/>
    <x v="6"/>
  </r>
  <r>
    <n v="98"/>
    <x v="4"/>
    <x v="0"/>
    <x v="0"/>
    <x v="0"/>
    <x v="6"/>
    <n v="0"/>
    <n v="3"/>
    <x v="1"/>
    <n v="1"/>
    <x v="2"/>
    <n v="0.19700000000000001"/>
    <x v="19"/>
    <n v="0.22389999999999999"/>
    <x v="3"/>
    <x v="39"/>
    <x v="63"/>
  </r>
  <r>
    <n v="99"/>
    <x v="4"/>
    <x v="0"/>
    <x v="0"/>
    <x v="0"/>
    <x v="7"/>
    <n v="0"/>
    <n v="3"/>
    <x v="1"/>
    <n v="1"/>
    <x v="15"/>
    <n v="0.18179999999999999"/>
    <x v="21"/>
    <n v="0.19400000000000001"/>
    <x v="5"/>
    <x v="61"/>
    <x v="39"/>
  </r>
  <r>
    <n v="100"/>
    <x v="4"/>
    <x v="0"/>
    <x v="0"/>
    <x v="0"/>
    <x v="8"/>
    <n v="0"/>
    <n v="3"/>
    <x v="1"/>
    <n v="1"/>
    <x v="2"/>
    <n v="0.18179999999999999"/>
    <x v="22"/>
    <n v="0.29849999999999999"/>
    <x v="0"/>
    <x v="62"/>
    <x v="64"/>
  </r>
  <r>
    <n v="101"/>
    <x v="4"/>
    <x v="0"/>
    <x v="0"/>
    <x v="0"/>
    <x v="9"/>
    <n v="0"/>
    <n v="3"/>
    <x v="1"/>
    <n v="1"/>
    <x v="1"/>
    <n v="0.19700000000000001"/>
    <x v="38"/>
    <n v="0.32840000000000003"/>
    <x v="15"/>
    <x v="63"/>
    <x v="65"/>
  </r>
  <r>
    <n v="102"/>
    <x v="4"/>
    <x v="0"/>
    <x v="0"/>
    <x v="0"/>
    <x v="10"/>
    <n v="0"/>
    <n v="3"/>
    <x v="1"/>
    <n v="1"/>
    <x v="1"/>
    <n v="0.19700000000000001"/>
    <x v="38"/>
    <n v="0.32840000000000003"/>
    <x v="17"/>
    <x v="42"/>
    <x v="52"/>
  </r>
  <r>
    <n v="103"/>
    <x v="4"/>
    <x v="0"/>
    <x v="0"/>
    <x v="0"/>
    <x v="11"/>
    <n v="0"/>
    <n v="3"/>
    <x v="1"/>
    <n v="1"/>
    <x v="12"/>
    <n v="0.2273"/>
    <x v="39"/>
    <n v="0.32840000000000003"/>
    <x v="6"/>
    <x v="60"/>
    <x v="66"/>
  </r>
  <r>
    <n v="104"/>
    <x v="4"/>
    <x v="0"/>
    <x v="0"/>
    <x v="0"/>
    <x v="12"/>
    <n v="0"/>
    <n v="3"/>
    <x v="1"/>
    <n v="1"/>
    <x v="12"/>
    <n v="0.2273"/>
    <x v="39"/>
    <n v="0.32840000000000003"/>
    <x v="2"/>
    <x v="64"/>
    <x v="67"/>
  </r>
  <r>
    <n v="105"/>
    <x v="4"/>
    <x v="0"/>
    <x v="0"/>
    <x v="0"/>
    <x v="13"/>
    <n v="0"/>
    <n v="3"/>
    <x v="1"/>
    <n v="1"/>
    <x v="17"/>
    <n v="0.2576"/>
    <x v="24"/>
    <n v="0.29849999999999999"/>
    <x v="15"/>
    <x v="65"/>
    <x v="68"/>
  </r>
  <r>
    <n v="106"/>
    <x v="4"/>
    <x v="0"/>
    <x v="0"/>
    <x v="0"/>
    <x v="14"/>
    <n v="0"/>
    <n v="3"/>
    <x v="1"/>
    <n v="1"/>
    <x v="11"/>
    <n v="0.28789999999999999"/>
    <x v="40"/>
    <n v="0.19400000000000001"/>
    <x v="22"/>
    <x v="15"/>
    <x v="69"/>
  </r>
  <r>
    <n v="107"/>
    <x v="4"/>
    <x v="0"/>
    <x v="0"/>
    <x v="0"/>
    <x v="15"/>
    <n v="0"/>
    <n v="3"/>
    <x v="1"/>
    <n v="1"/>
    <x v="11"/>
    <n v="0.28789999999999999"/>
    <x v="40"/>
    <n v="0.19400000000000001"/>
    <x v="18"/>
    <x v="11"/>
    <x v="69"/>
  </r>
  <r>
    <n v="108"/>
    <x v="4"/>
    <x v="0"/>
    <x v="0"/>
    <x v="0"/>
    <x v="16"/>
    <n v="0"/>
    <n v="3"/>
    <x v="1"/>
    <n v="1"/>
    <x v="11"/>
    <n v="0.31819999999999998"/>
    <x v="40"/>
    <n v="8.9599999999999999E-2"/>
    <x v="17"/>
    <x v="66"/>
    <x v="70"/>
  </r>
  <r>
    <n v="109"/>
    <x v="4"/>
    <x v="0"/>
    <x v="0"/>
    <x v="0"/>
    <x v="17"/>
    <n v="0"/>
    <n v="3"/>
    <x v="1"/>
    <n v="1"/>
    <x v="0"/>
    <n v="0.2273"/>
    <x v="41"/>
    <n v="0.19400000000000001"/>
    <x v="17"/>
    <x v="67"/>
    <x v="71"/>
  </r>
  <r>
    <n v="110"/>
    <x v="4"/>
    <x v="0"/>
    <x v="0"/>
    <x v="0"/>
    <x v="18"/>
    <n v="0"/>
    <n v="3"/>
    <x v="1"/>
    <n v="1"/>
    <x v="0"/>
    <n v="0.2424"/>
    <x v="41"/>
    <n v="0.1343"/>
    <x v="0"/>
    <x v="68"/>
    <x v="72"/>
  </r>
  <r>
    <n v="111"/>
    <x v="4"/>
    <x v="0"/>
    <x v="0"/>
    <x v="0"/>
    <x v="19"/>
    <n v="0"/>
    <n v="3"/>
    <x v="1"/>
    <n v="1"/>
    <x v="0"/>
    <n v="0.2576"/>
    <x v="41"/>
    <n v="0.1045"/>
    <x v="2"/>
    <x v="69"/>
    <x v="73"/>
  </r>
  <r>
    <n v="112"/>
    <x v="4"/>
    <x v="0"/>
    <x v="0"/>
    <x v="0"/>
    <x v="20"/>
    <n v="0"/>
    <n v="3"/>
    <x v="1"/>
    <n v="1"/>
    <x v="1"/>
    <n v="0.2273"/>
    <x v="19"/>
    <n v="0.16420000000000001"/>
    <x v="18"/>
    <x v="70"/>
    <x v="70"/>
  </r>
  <r>
    <n v="113"/>
    <x v="4"/>
    <x v="0"/>
    <x v="0"/>
    <x v="0"/>
    <x v="21"/>
    <n v="0"/>
    <n v="3"/>
    <x v="1"/>
    <n v="1"/>
    <x v="2"/>
    <n v="0.19700000000000001"/>
    <x v="33"/>
    <n v="0.19400000000000001"/>
    <x v="0"/>
    <x v="71"/>
    <x v="74"/>
  </r>
  <r>
    <n v="114"/>
    <x v="4"/>
    <x v="0"/>
    <x v="0"/>
    <x v="0"/>
    <x v="22"/>
    <n v="0"/>
    <n v="3"/>
    <x v="1"/>
    <n v="1"/>
    <x v="15"/>
    <n v="0.19700000000000001"/>
    <x v="28"/>
    <n v="0.1343"/>
    <x v="5"/>
    <x v="40"/>
    <x v="51"/>
  </r>
  <r>
    <n v="115"/>
    <x v="4"/>
    <x v="0"/>
    <x v="0"/>
    <x v="0"/>
    <x v="23"/>
    <n v="0"/>
    <n v="3"/>
    <x v="1"/>
    <n v="1"/>
    <x v="2"/>
    <n v="0.2576"/>
    <x v="19"/>
    <n v="0"/>
    <x v="5"/>
    <x v="72"/>
    <x v="75"/>
  </r>
  <r>
    <n v="116"/>
    <x v="5"/>
    <x v="0"/>
    <x v="0"/>
    <x v="0"/>
    <x v="0"/>
    <n v="0"/>
    <n v="4"/>
    <x v="1"/>
    <n v="1"/>
    <x v="15"/>
    <n v="0.2424"/>
    <x v="28"/>
    <n v="0"/>
    <x v="3"/>
    <x v="48"/>
    <x v="62"/>
  </r>
  <r>
    <n v="117"/>
    <x v="5"/>
    <x v="0"/>
    <x v="0"/>
    <x v="0"/>
    <x v="1"/>
    <n v="0"/>
    <n v="4"/>
    <x v="1"/>
    <n v="1"/>
    <x v="13"/>
    <n v="0.2273"/>
    <x v="26"/>
    <n v="0"/>
    <x v="3"/>
    <x v="22"/>
    <x v="48"/>
  </r>
  <r>
    <n v="118"/>
    <x v="5"/>
    <x v="0"/>
    <x v="0"/>
    <x v="0"/>
    <x v="2"/>
    <n v="0"/>
    <n v="4"/>
    <x v="1"/>
    <n v="1"/>
    <x v="13"/>
    <n v="0.2273"/>
    <x v="26"/>
    <n v="0"/>
    <x v="3"/>
    <x v="6"/>
    <x v="5"/>
  </r>
  <r>
    <n v="119"/>
    <x v="5"/>
    <x v="0"/>
    <x v="0"/>
    <x v="0"/>
    <x v="4"/>
    <n v="0"/>
    <n v="4"/>
    <x v="1"/>
    <n v="2"/>
    <x v="13"/>
    <n v="0.19700000000000001"/>
    <x v="26"/>
    <n v="8.9599999999999999E-2"/>
    <x v="3"/>
    <x v="4"/>
    <x v="4"/>
  </r>
  <r>
    <n v="120"/>
    <x v="5"/>
    <x v="0"/>
    <x v="0"/>
    <x v="0"/>
    <x v="5"/>
    <n v="0"/>
    <n v="4"/>
    <x v="1"/>
    <n v="2"/>
    <x v="14"/>
    <n v="0.18179999999999999"/>
    <x v="27"/>
    <n v="8.9599999999999999E-2"/>
    <x v="3"/>
    <x v="22"/>
    <x v="48"/>
  </r>
  <r>
    <n v="121"/>
    <x v="5"/>
    <x v="0"/>
    <x v="0"/>
    <x v="0"/>
    <x v="6"/>
    <n v="0"/>
    <n v="4"/>
    <x v="1"/>
    <n v="2"/>
    <x v="14"/>
    <n v="0.16669999999999999"/>
    <x v="30"/>
    <n v="0.1045"/>
    <x v="3"/>
    <x v="49"/>
    <x v="9"/>
  </r>
  <r>
    <n v="122"/>
    <x v="5"/>
    <x v="0"/>
    <x v="0"/>
    <x v="0"/>
    <x v="7"/>
    <n v="0"/>
    <n v="4"/>
    <x v="1"/>
    <n v="2"/>
    <x v="13"/>
    <n v="0.2273"/>
    <x v="29"/>
    <n v="0"/>
    <x v="3"/>
    <x v="73"/>
    <x v="76"/>
  </r>
  <r>
    <n v="123"/>
    <x v="5"/>
    <x v="0"/>
    <x v="0"/>
    <x v="0"/>
    <x v="8"/>
    <n v="0"/>
    <n v="4"/>
    <x v="1"/>
    <n v="1"/>
    <x v="13"/>
    <n v="0.2273"/>
    <x v="29"/>
    <n v="0"/>
    <x v="0"/>
    <x v="74"/>
    <x v="77"/>
  </r>
  <r>
    <n v="124"/>
    <x v="5"/>
    <x v="0"/>
    <x v="0"/>
    <x v="0"/>
    <x v="9"/>
    <n v="0"/>
    <n v="4"/>
    <x v="1"/>
    <n v="2"/>
    <x v="15"/>
    <n v="0.2424"/>
    <x v="33"/>
    <n v="0"/>
    <x v="15"/>
    <x v="75"/>
    <x v="78"/>
  </r>
  <r>
    <n v="125"/>
    <x v="5"/>
    <x v="0"/>
    <x v="0"/>
    <x v="0"/>
    <x v="10"/>
    <n v="0"/>
    <n v="4"/>
    <x v="1"/>
    <n v="1"/>
    <x v="2"/>
    <n v="0.2576"/>
    <x v="19"/>
    <n v="0"/>
    <x v="0"/>
    <x v="76"/>
    <x v="79"/>
  </r>
  <r>
    <n v="126"/>
    <x v="5"/>
    <x v="0"/>
    <x v="0"/>
    <x v="0"/>
    <x v="11"/>
    <n v="0"/>
    <n v="4"/>
    <x v="1"/>
    <n v="1"/>
    <x v="1"/>
    <n v="0.2576"/>
    <x v="18"/>
    <n v="8.9599999999999999E-2"/>
    <x v="4"/>
    <x v="77"/>
    <x v="29"/>
  </r>
  <r>
    <n v="127"/>
    <x v="5"/>
    <x v="0"/>
    <x v="0"/>
    <x v="0"/>
    <x v="12"/>
    <n v="0"/>
    <n v="4"/>
    <x v="1"/>
    <n v="1"/>
    <x v="12"/>
    <n v="0.28789999999999999"/>
    <x v="23"/>
    <n v="0"/>
    <x v="15"/>
    <x v="78"/>
    <x v="11"/>
  </r>
  <r>
    <n v="128"/>
    <x v="5"/>
    <x v="0"/>
    <x v="0"/>
    <x v="0"/>
    <x v="13"/>
    <n v="0"/>
    <n v="4"/>
    <x v="1"/>
    <n v="1"/>
    <x v="12"/>
    <n v="0.2727"/>
    <x v="23"/>
    <n v="0.1045"/>
    <x v="6"/>
    <x v="11"/>
    <x v="16"/>
  </r>
  <r>
    <n v="129"/>
    <x v="5"/>
    <x v="0"/>
    <x v="0"/>
    <x v="0"/>
    <x v="14"/>
    <n v="0"/>
    <n v="4"/>
    <x v="1"/>
    <n v="1"/>
    <x v="17"/>
    <n v="0.2727"/>
    <x v="42"/>
    <n v="0.16420000000000001"/>
    <x v="16"/>
    <x v="79"/>
    <x v="27"/>
  </r>
  <r>
    <n v="130"/>
    <x v="5"/>
    <x v="0"/>
    <x v="0"/>
    <x v="0"/>
    <x v="15"/>
    <n v="0"/>
    <n v="4"/>
    <x v="1"/>
    <n v="1"/>
    <x v="17"/>
    <n v="0.2727"/>
    <x v="42"/>
    <n v="0"/>
    <x v="1"/>
    <x v="25"/>
    <x v="69"/>
  </r>
  <r>
    <n v="131"/>
    <x v="5"/>
    <x v="0"/>
    <x v="0"/>
    <x v="0"/>
    <x v="16"/>
    <n v="0"/>
    <n v="4"/>
    <x v="1"/>
    <n v="1"/>
    <x v="12"/>
    <n v="0.2576"/>
    <x v="41"/>
    <n v="0.16420000000000001"/>
    <x v="6"/>
    <x v="64"/>
    <x v="80"/>
  </r>
  <r>
    <n v="132"/>
    <x v="5"/>
    <x v="0"/>
    <x v="0"/>
    <x v="0"/>
    <x v="17"/>
    <n v="0"/>
    <n v="4"/>
    <x v="1"/>
    <n v="1"/>
    <x v="1"/>
    <n v="0.2273"/>
    <x v="33"/>
    <n v="0.16420000000000001"/>
    <x v="14"/>
    <x v="80"/>
    <x v="81"/>
  </r>
  <r>
    <n v="133"/>
    <x v="5"/>
    <x v="0"/>
    <x v="0"/>
    <x v="0"/>
    <x v="18"/>
    <n v="0"/>
    <n v="4"/>
    <x v="1"/>
    <n v="1"/>
    <x v="1"/>
    <n v="0.2273"/>
    <x v="33"/>
    <n v="0.1343"/>
    <x v="2"/>
    <x v="81"/>
    <x v="82"/>
  </r>
  <r>
    <n v="134"/>
    <x v="5"/>
    <x v="0"/>
    <x v="0"/>
    <x v="0"/>
    <x v="19"/>
    <n v="0"/>
    <n v="4"/>
    <x v="1"/>
    <n v="1"/>
    <x v="1"/>
    <n v="0.2576"/>
    <x v="28"/>
    <n v="8.9599999999999999E-2"/>
    <x v="0"/>
    <x v="63"/>
    <x v="59"/>
  </r>
  <r>
    <n v="135"/>
    <x v="5"/>
    <x v="0"/>
    <x v="0"/>
    <x v="0"/>
    <x v="20"/>
    <n v="0"/>
    <n v="4"/>
    <x v="1"/>
    <n v="1"/>
    <x v="2"/>
    <n v="0.21210000000000001"/>
    <x v="33"/>
    <n v="0.16420000000000001"/>
    <x v="0"/>
    <x v="43"/>
    <x v="83"/>
  </r>
  <r>
    <n v="136"/>
    <x v="5"/>
    <x v="0"/>
    <x v="0"/>
    <x v="0"/>
    <x v="21"/>
    <n v="0"/>
    <n v="4"/>
    <x v="1"/>
    <n v="2"/>
    <x v="1"/>
    <n v="0.21210000000000001"/>
    <x v="28"/>
    <n v="0.22389999999999999"/>
    <x v="3"/>
    <x v="41"/>
    <x v="61"/>
  </r>
  <r>
    <n v="137"/>
    <x v="5"/>
    <x v="0"/>
    <x v="0"/>
    <x v="0"/>
    <x v="22"/>
    <n v="0"/>
    <n v="4"/>
    <x v="1"/>
    <n v="2"/>
    <x v="1"/>
    <n v="0.21210000000000001"/>
    <x v="33"/>
    <n v="0.28360000000000002"/>
    <x v="5"/>
    <x v="82"/>
    <x v="46"/>
  </r>
  <r>
    <n v="138"/>
    <x v="5"/>
    <x v="0"/>
    <x v="0"/>
    <x v="0"/>
    <x v="23"/>
    <n v="0"/>
    <n v="4"/>
    <x v="1"/>
    <n v="2"/>
    <x v="2"/>
    <n v="0.19700000000000001"/>
    <x v="29"/>
    <n v="0.19400000000000001"/>
    <x v="17"/>
    <x v="23"/>
    <x v="84"/>
  </r>
  <r>
    <n v="139"/>
    <x v="6"/>
    <x v="0"/>
    <x v="0"/>
    <x v="0"/>
    <x v="0"/>
    <n v="0"/>
    <n v="5"/>
    <x v="1"/>
    <n v="2"/>
    <x v="2"/>
    <n v="0.19700000000000001"/>
    <x v="26"/>
    <n v="0.19400000000000001"/>
    <x v="17"/>
    <x v="0"/>
    <x v="22"/>
  </r>
  <r>
    <n v="140"/>
    <x v="6"/>
    <x v="0"/>
    <x v="0"/>
    <x v="0"/>
    <x v="1"/>
    <n v="0"/>
    <n v="5"/>
    <x v="1"/>
    <n v="2"/>
    <x v="2"/>
    <n v="0.19700000000000001"/>
    <x v="27"/>
    <n v="0.22389999999999999"/>
    <x v="4"/>
    <x v="34"/>
    <x v="85"/>
  </r>
  <r>
    <n v="141"/>
    <x v="6"/>
    <x v="0"/>
    <x v="0"/>
    <x v="0"/>
    <x v="2"/>
    <n v="0"/>
    <n v="5"/>
    <x v="1"/>
    <n v="2"/>
    <x v="2"/>
    <n v="0.19700000000000001"/>
    <x v="27"/>
    <n v="0.22389999999999999"/>
    <x v="3"/>
    <x v="4"/>
    <x v="4"/>
  </r>
  <r>
    <n v="142"/>
    <x v="6"/>
    <x v="0"/>
    <x v="0"/>
    <x v="0"/>
    <x v="4"/>
    <n v="0"/>
    <n v="5"/>
    <x v="1"/>
    <n v="2"/>
    <x v="2"/>
    <n v="0.21210000000000001"/>
    <x v="27"/>
    <n v="0.1343"/>
    <x v="3"/>
    <x v="4"/>
    <x v="4"/>
  </r>
  <r>
    <n v="143"/>
    <x v="6"/>
    <x v="0"/>
    <x v="0"/>
    <x v="0"/>
    <x v="5"/>
    <n v="0"/>
    <n v="5"/>
    <x v="1"/>
    <n v="3"/>
    <x v="1"/>
    <n v="0.2727"/>
    <x v="28"/>
    <n v="0"/>
    <x v="3"/>
    <x v="34"/>
    <x v="36"/>
  </r>
  <r>
    <n v="144"/>
    <x v="6"/>
    <x v="0"/>
    <x v="0"/>
    <x v="0"/>
    <x v="6"/>
    <n v="0"/>
    <n v="5"/>
    <x v="1"/>
    <n v="2"/>
    <x v="2"/>
    <n v="0.2576"/>
    <x v="27"/>
    <n v="0"/>
    <x v="1"/>
    <x v="16"/>
    <x v="19"/>
  </r>
  <r>
    <n v="145"/>
    <x v="6"/>
    <x v="0"/>
    <x v="0"/>
    <x v="0"/>
    <x v="7"/>
    <n v="0"/>
    <n v="5"/>
    <x v="1"/>
    <n v="1"/>
    <x v="2"/>
    <n v="0.21210000000000001"/>
    <x v="27"/>
    <n v="0.1343"/>
    <x v="1"/>
    <x v="83"/>
    <x v="11"/>
  </r>
  <r>
    <n v="146"/>
    <x v="6"/>
    <x v="0"/>
    <x v="0"/>
    <x v="0"/>
    <x v="8"/>
    <n v="0"/>
    <n v="5"/>
    <x v="1"/>
    <n v="1"/>
    <x v="2"/>
    <n v="0.19700000000000001"/>
    <x v="33"/>
    <n v="0.25369999999999998"/>
    <x v="20"/>
    <x v="84"/>
    <x v="86"/>
  </r>
  <r>
    <n v="147"/>
    <x v="6"/>
    <x v="0"/>
    <x v="0"/>
    <x v="0"/>
    <x v="9"/>
    <n v="0"/>
    <n v="5"/>
    <x v="1"/>
    <n v="1"/>
    <x v="2"/>
    <n v="0.18179999999999999"/>
    <x v="19"/>
    <n v="0.29849999999999999"/>
    <x v="14"/>
    <x v="85"/>
    <x v="87"/>
  </r>
  <r>
    <n v="148"/>
    <x v="6"/>
    <x v="0"/>
    <x v="0"/>
    <x v="0"/>
    <x v="10"/>
    <n v="0"/>
    <n v="5"/>
    <x v="1"/>
    <n v="1"/>
    <x v="1"/>
    <n v="0.19700000000000001"/>
    <x v="38"/>
    <n v="0.32840000000000003"/>
    <x v="19"/>
    <x v="12"/>
    <x v="55"/>
  </r>
  <r>
    <n v="149"/>
    <x v="6"/>
    <x v="0"/>
    <x v="0"/>
    <x v="0"/>
    <x v="11"/>
    <n v="0"/>
    <n v="5"/>
    <x v="1"/>
    <n v="2"/>
    <x v="2"/>
    <n v="0.19700000000000001"/>
    <x v="22"/>
    <n v="0.22389999999999999"/>
    <x v="21"/>
    <x v="41"/>
    <x v="16"/>
  </r>
  <r>
    <n v="150"/>
    <x v="6"/>
    <x v="0"/>
    <x v="0"/>
    <x v="0"/>
    <x v="12"/>
    <n v="0"/>
    <n v="5"/>
    <x v="1"/>
    <n v="2"/>
    <x v="2"/>
    <n v="0.19700000000000001"/>
    <x v="38"/>
    <n v="0.25369999999999998"/>
    <x v="14"/>
    <x v="54"/>
    <x v="29"/>
  </r>
  <r>
    <n v="151"/>
    <x v="6"/>
    <x v="0"/>
    <x v="0"/>
    <x v="0"/>
    <x v="13"/>
    <n v="0"/>
    <n v="5"/>
    <x v="1"/>
    <n v="2"/>
    <x v="2"/>
    <n v="0.18179999999999999"/>
    <x v="38"/>
    <n v="0.28360000000000002"/>
    <x v="14"/>
    <x v="27"/>
    <x v="88"/>
  </r>
  <r>
    <n v="152"/>
    <x v="6"/>
    <x v="0"/>
    <x v="0"/>
    <x v="0"/>
    <x v="14"/>
    <n v="0"/>
    <n v="5"/>
    <x v="1"/>
    <n v="2"/>
    <x v="2"/>
    <n v="0.19700000000000001"/>
    <x v="22"/>
    <n v="0.25369999999999998"/>
    <x v="18"/>
    <x v="30"/>
    <x v="89"/>
  </r>
  <r>
    <n v="153"/>
    <x v="6"/>
    <x v="0"/>
    <x v="0"/>
    <x v="0"/>
    <x v="15"/>
    <n v="0"/>
    <n v="5"/>
    <x v="1"/>
    <n v="2"/>
    <x v="2"/>
    <n v="0.21210000000000001"/>
    <x v="38"/>
    <n v="0.16420000000000001"/>
    <x v="14"/>
    <x v="36"/>
    <x v="44"/>
  </r>
  <r>
    <n v="154"/>
    <x v="6"/>
    <x v="0"/>
    <x v="0"/>
    <x v="0"/>
    <x v="16"/>
    <n v="0"/>
    <n v="5"/>
    <x v="1"/>
    <n v="2"/>
    <x v="2"/>
    <n v="0.21210000000000001"/>
    <x v="38"/>
    <n v="0.16420000000000001"/>
    <x v="2"/>
    <x v="70"/>
    <x v="90"/>
  </r>
  <r>
    <n v="155"/>
    <x v="6"/>
    <x v="0"/>
    <x v="0"/>
    <x v="0"/>
    <x v="17"/>
    <n v="0"/>
    <n v="5"/>
    <x v="1"/>
    <n v="2"/>
    <x v="2"/>
    <n v="0.2576"/>
    <x v="38"/>
    <n v="0"/>
    <x v="14"/>
    <x v="86"/>
    <x v="91"/>
  </r>
  <r>
    <n v="156"/>
    <x v="6"/>
    <x v="0"/>
    <x v="0"/>
    <x v="0"/>
    <x v="18"/>
    <n v="0"/>
    <n v="5"/>
    <x v="1"/>
    <n v="1"/>
    <x v="2"/>
    <n v="0.2273"/>
    <x v="22"/>
    <n v="8.9599999999999999E-2"/>
    <x v="18"/>
    <x v="75"/>
    <x v="92"/>
  </r>
  <r>
    <n v="157"/>
    <x v="6"/>
    <x v="0"/>
    <x v="0"/>
    <x v="0"/>
    <x v="19"/>
    <n v="0"/>
    <n v="5"/>
    <x v="1"/>
    <n v="1"/>
    <x v="13"/>
    <n v="0.19700000000000001"/>
    <x v="28"/>
    <n v="8.9599999999999999E-2"/>
    <x v="0"/>
    <x v="50"/>
    <x v="76"/>
  </r>
  <r>
    <n v="158"/>
    <x v="6"/>
    <x v="0"/>
    <x v="0"/>
    <x v="0"/>
    <x v="20"/>
    <n v="0"/>
    <n v="5"/>
    <x v="1"/>
    <n v="1"/>
    <x v="15"/>
    <n v="0.21210000000000001"/>
    <x v="19"/>
    <n v="0.1045"/>
    <x v="5"/>
    <x v="54"/>
    <x v="41"/>
  </r>
  <r>
    <n v="159"/>
    <x v="6"/>
    <x v="0"/>
    <x v="0"/>
    <x v="0"/>
    <x v="21"/>
    <n v="0"/>
    <n v="5"/>
    <x v="1"/>
    <n v="1"/>
    <x v="15"/>
    <n v="0.19700000000000001"/>
    <x v="19"/>
    <n v="0.1343"/>
    <x v="3"/>
    <x v="87"/>
    <x v="21"/>
  </r>
  <r>
    <n v="160"/>
    <x v="6"/>
    <x v="0"/>
    <x v="0"/>
    <x v="0"/>
    <x v="22"/>
    <n v="0"/>
    <n v="5"/>
    <x v="1"/>
    <n v="2"/>
    <x v="15"/>
    <n v="0.19700000000000001"/>
    <x v="21"/>
    <n v="0.16420000000000001"/>
    <x v="4"/>
    <x v="60"/>
    <x v="9"/>
  </r>
  <r>
    <n v="161"/>
    <x v="6"/>
    <x v="0"/>
    <x v="0"/>
    <x v="0"/>
    <x v="23"/>
    <n v="0"/>
    <n v="5"/>
    <x v="1"/>
    <n v="2"/>
    <x v="15"/>
    <n v="0.19700000000000001"/>
    <x v="33"/>
    <n v="0.16420000000000001"/>
    <x v="5"/>
    <x v="88"/>
    <x v="93"/>
  </r>
  <r>
    <n v="162"/>
    <x v="7"/>
    <x v="0"/>
    <x v="0"/>
    <x v="0"/>
    <x v="0"/>
    <n v="0"/>
    <n v="6"/>
    <x v="0"/>
    <n v="2"/>
    <x v="15"/>
    <n v="0.19700000000000001"/>
    <x v="33"/>
    <n v="0.16420000000000001"/>
    <x v="5"/>
    <x v="9"/>
    <x v="94"/>
  </r>
  <r>
    <n v="163"/>
    <x v="7"/>
    <x v="0"/>
    <x v="0"/>
    <x v="0"/>
    <x v="1"/>
    <n v="0"/>
    <n v="6"/>
    <x v="0"/>
    <n v="2"/>
    <x v="15"/>
    <n v="0.21210000000000001"/>
    <x v="28"/>
    <n v="8.9599999999999999E-2"/>
    <x v="5"/>
    <x v="89"/>
    <x v="0"/>
  </r>
  <r>
    <n v="164"/>
    <x v="7"/>
    <x v="0"/>
    <x v="0"/>
    <x v="0"/>
    <x v="2"/>
    <n v="0"/>
    <n v="6"/>
    <x v="0"/>
    <n v="2"/>
    <x v="15"/>
    <n v="0.2424"/>
    <x v="28"/>
    <n v="0"/>
    <x v="0"/>
    <x v="0"/>
    <x v="0"/>
  </r>
  <r>
    <n v="165"/>
    <x v="7"/>
    <x v="0"/>
    <x v="0"/>
    <x v="0"/>
    <x v="3"/>
    <n v="0"/>
    <n v="6"/>
    <x v="0"/>
    <n v="3"/>
    <x v="15"/>
    <n v="0.19700000000000001"/>
    <x v="28"/>
    <n v="0.16420000000000001"/>
    <x v="3"/>
    <x v="7"/>
    <x v="85"/>
  </r>
  <r>
    <n v="166"/>
    <x v="7"/>
    <x v="0"/>
    <x v="0"/>
    <x v="0"/>
    <x v="4"/>
    <n v="0"/>
    <n v="6"/>
    <x v="0"/>
    <n v="3"/>
    <x v="15"/>
    <n v="0.19700000000000001"/>
    <x v="28"/>
    <n v="0.16420000000000001"/>
    <x v="3"/>
    <x v="4"/>
    <x v="4"/>
  </r>
  <r>
    <n v="167"/>
    <x v="7"/>
    <x v="0"/>
    <x v="0"/>
    <x v="0"/>
    <x v="5"/>
    <n v="0"/>
    <n v="6"/>
    <x v="0"/>
    <n v="2"/>
    <x v="13"/>
    <n v="0.16669999999999999"/>
    <x v="32"/>
    <n v="0.16420000000000001"/>
    <x v="3"/>
    <x v="34"/>
    <x v="36"/>
  </r>
  <r>
    <n v="168"/>
    <x v="7"/>
    <x v="0"/>
    <x v="0"/>
    <x v="0"/>
    <x v="6"/>
    <n v="0"/>
    <n v="6"/>
    <x v="0"/>
    <n v="2"/>
    <x v="13"/>
    <n v="0.16669999999999999"/>
    <x v="32"/>
    <n v="0.16420000000000001"/>
    <x v="3"/>
    <x v="6"/>
    <x v="5"/>
  </r>
  <r>
    <n v="169"/>
    <x v="7"/>
    <x v="0"/>
    <x v="0"/>
    <x v="0"/>
    <x v="7"/>
    <n v="0"/>
    <n v="6"/>
    <x v="0"/>
    <n v="2"/>
    <x v="13"/>
    <n v="0.18179999999999999"/>
    <x v="32"/>
    <n v="0.1045"/>
    <x v="5"/>
    <x v="21"/>
    <x v="23"/>
  </r>
  <r>
    <n v="170"/>
    <x v="7"/>
    <x v="0"/>
    <x v="0"/>
    <x v="0"/>
    <x v="8"/>
    <n v="0"/>
    <n v="6"/>
    <x v="0"/>
    <n v="3"/>
    <x v="13"/>
    <n v="0.18179999999999999"/>
    <x v="43"/>
    <n v="0.1045"/>
    <x v="3"/>
    <x v="89"/>
    <x v="93"/>
  </r>
  <r>
    <n v="171"/>
    <x v="7"/>
    <x v="0"/>
    <x v="0"/>
    <x v="0"/>
    <x v="9"/>
    <n v="0"/>
    <n v="6"/>
    <x v="0"/>
    <n v="3"/>
    <x v="13"/>
    <n v="0.18179999999999999"/>
    <x v="43"/>
    <n v="0.1045"/>
    <x v="3"/>
    <x v="32"/>
    <x v="25"/>
  </r>
  <r>
    <n v="172"/>
    <x v="7"/>
    <x v="0"/>
    <x v="0"/>
    <x v="0"/>
    <x v="10"/>
    <n v="0"/>
    <n v="6"/>
    <x v="0"/>
    <n v="2"/>
    <x v="15"/>
    <n v="0.19700000000000001"/>
    <x v="1"/>
    <n v="0.16420000000000001"/>
    <x v="2"/>
    <x v="90"/>
    <x v="42"/>
  </r>
  <r>
    <n v="173"/>
    <x v="7"/>
    <x v="0"/>
    <x v="0"/>
    <x v="0"/>
    <x v="11"/>
    <n v="0"/>
    <n v="6"/>
    <x v="0"/>
    <n v="2"/>
    <x v="2"/>
    <n v="0.18179999999999999"/>
    <x v="27"/>
    <n v="0.3881"/>
    <x v="4"/>
    <x v="91"/>
    <x v="69"/>
  </r>
  <r>
    <n v="174"/>
    <x v="7"/>
    <x v="0"/>
    <x v="0"/>
    <x v="0"/>
    <x v="12"/>
    <n v="0"/>
    <n v="6"/>
    <x v="0"/>
    <n v="2"/>
    <x v="2"/>
    <n v="0.18179999999999999"/>
    <x v="29"/>
    <n v="0.35820000000000002"/>
    <x v="1"/>
    <x v="92"/>
    <x v="95"/>
  </r>
  <r>
    <n v="175"/>
    <x v="7"/>
    <x v="0"/>
    <x v="0"/>
    <x v="0"/>
    <x v="13"/>
    <n v="0"/>
    <n v="6"/>
    <x v="0"/>
    <n v="1"/>
    <x v="2"/>
    <n v="0.18179999999999999"/>
    <x v="18"/>
    <n v="0.32840000000000003"/>
    <x v="18"/>
    <x v="73"/>
    <x v="96"/>
  </r>
  <r>
    <n v="176"/>
    <x v="7"/>
    <x v="0"/>
    <x v="0"/>
    <x v="0"/>
    <x v="14"/>
    <n v="0"/>
    <n v="6"/>
    <x v="0"/>
    <n v="1"/>
    <x v="2"/>
    <n v="0.16669999999999999"/>
    <x v="25"/>
    <n v="0.49249999999999999"/>
    <x v="6"/>
    <x v="93"/>
    <x v="76"/>
  </r>
  <r>
    <n v="177"/>
    <x v="7"/>
    <x v="0"/>
    <x v="0"/>
    <x v="0"/>
    <x v="15"/>
    <n v="0"/>
    <n v="6"/>
    <x v="0"/>
    <n v="1"/>
    <x v="2"/>
    <n v="0.16669999999999999"/>
    <x v="25"/>
    <n v="0.44779999999999998"/>
    <x v="2"/>
    <x v="94"/>
    <x v="30"/>
  </r>
  <r>
    <n v="178"/>
    <x v="7"/>
    <x v="0"/>
    <x v="0"/>
    <x v="0"/>
    <x v="16"/>
    <n v="0"/>
    <n v="6"/>
    <x v="0"/>
    <n v="1"/>
    <x v="15"/>
    <n v="0.13639999999999999"/>
    <x v="44"/>
    <n v="0.44779999999999998"/>
    <x v="1"/>
    <x v="56"/>
    <x v="31"/>
  </r>
  <r>
    <n v="179"/>
    <x v="7"/>
    <x v="0"/>
    <x v="0"/>
    <x v="0"/>
    <x v="17"/>
    <n v="0"/>
    <n v="6"/>
    <x v="0"/>
    <n v="1"/>
    <x v="13"/>
    <n v="0.1212"/>
    <x v="38"/>
    <n v="0.55220000000000002"/>
    <x v="2"/>
    <x v="27"/>
    <x v="83"/>
  </r>
  <r>
    <n v="180"/>
    <x v="7"/>
    <x v="0"/>
    <x v="0"/>
    <x v="0"/>
    <x v="18"/>
    <n v="0"/>
    <n v="6"/>
    <x v="0"/>
    <n v="1"/>
    <x v="14"/>
    <n v="0.1212"/>
    <x v="17"/>
    <n v="0.29849999999999999"/>
    <x v="0"/>
    <x v="15"/>
    <x v="97"/>
  </r>
  <r>
    <n v="181"/>
    <x v="7"/>
    <x v="0"/>
    <x v="0"/>
    <x v="0"/>
    <x v="19"/>
    <n v="0"/>
    <n v="6"/>
    <x v="0"/>
    <n v="1"/>
    <x v="14"/>
    <n v="0.1212"/>
    <x v="42"/>
    <n v="0.25369999999999998"/>
    <x v="17"/>
    <x v="16"/>
    <x v="33"/>
  </r>
  <r>
    <n v="182"/>
    <x v="7"/>
    <x v="0"/>
    <x v="0"/>
    <x v="0"/>
    <x v="20"/>
    <n v="0"/>
    <n v="6"/>
    <x v="0"/>
    <n v="1"/>
    <x v="16"/>
    <n v="0.1212"/>
    <x v="42"/>
    <n v="0.25369999999999998"/>
    <x v="3"/>
    <x v="95"/>
    <x v="20"/>
  </r>
  <r>
    <n v="183"/>
    <x v="7"/>
    <x v="0"/>
    <x v="0"/>
    <x v="0"/>
    <x v="21"/>
    <n v="0"/>
    <n v="6"/>
    <x v="0"/>
    <n v="1"/>
    <x v="16"/>
    <n v="0.1061"/>
    <x v="17"/>
    <n v="0.35820000000000002"/>
    <x v="4"/>
    <x v="96"/>
    <x v="18"/>
  </r>
  <r>
    <n v="184"/>
    <x v="7"/>
    <x v="0"/>
    <x v="0"/>
    <x v="0"/>
    <x v="22"/>
    <n v="0"/>
    <n v="6"/>
    <x v="0"/>
    <n v="1"/>
    <x v="16"/>
    <n v="0.1061"/>
    <x v="42"/>
    <n v="0.3881"/>
    <x v="5"/>
    <x v="39"/>
    <x v="19"/>
  </r>
  <r>
    <n v="185"/>
    <x v="7"/>
    <x v="0"/>
    <x v="0"/>
    <x v="0"/>
    <x v="23"/>
    <n v="0"/>
    <n v="6"/>
    <x v="0"/>
    <n v="1"/>
    <x v="18"/>
    <n v="6.0600000000000001E-2"/>
    <x v="17"/>
    <n v="0.44779999999999998"/>
    <x v="3"/>
    <x v="97"/>
    <x v="34"/>
  </r>
  <r>
    <n v="186"/>
    <x v="8"/>
    <x v="0"/>
    <x v="0"/>
    <x v="0"/>
    <x v="0"/>
    <n v="0"/>
    <n v="0"/>
    <x v="0"/>
    <n v="1"/>
    <x v="18"/>
    <n v="7.5800000000000006E-2"/>
    <x v="16"/>
    <n v="0.3881"/>
    <x v="5"/>
    <x v="9"/>
    <x v="94"/>
  </r>
  <r>
    <n v="187"/>
    <x v="8"/>
    <x v="0"/>
    <x v="0"/>
    <x v="0"/>
    <x v="1"/>
    <n v="0"/>
    <n v="0"/>
    <x v="0"/>
    <n v="1"/>
    <x v="18"/>
    <n v="6.0600000000000001E-2"/>
    <x v="16"/>
    <n v="0.4627"/>
    <x v="3"/>
    <x v="98"/>
    <x v="47"/>
  </r>
  <r>
    <n v="188"/>
    <x v="8"/>
    <x v="0"/>
    <x v="0"/>
    <x v="0"/>
    <x v="2"/>
    <n v="0"/>
    <n v="0"/>
    <x v="0"/>
    <n v="1"/>
    <x v="18"/>
    <n v="6.0600000000000001E-2"/>
    <x v="15"/>
    <n v="0.4627"/>
    <x v="3"/>
    <x v="48"/>
    <x v="62"/>
  </r>
  <r>
    <n v="189"/>
    <x v="8"/>
    <x v="0"/>
    <x v="0"/>
    <x v="0"/>
    <x v="3"/>
    <n v="0"/>
    <n v="0"/>
    <x v="0"/>
    <n v="1"/>
    <x v="18"/>
    <n v="7.5800000000000006E-2"/>
    <x v="15"/>
    <n v="0.41789999999999999"/>
    <x v="3"/>
    <x v="22"/>
    <x v="48"/>
  </r>
  <r>
    <n v="190"/>
    <x v="8"/>
    <x v="0"/>
    <x v="0"/>
    <x v="0"/>
    <x v="4"/>
    <n v="0"/>
    <n v="0"/>
    <x v="0"/>
    <n v="1"/>
    <x v="19"/>
    <n v="9.0899999999999995E-2"/>
    <x v="45"/>
    <n v="0.19400000000000001"/>
    <x v="3"/>
    <x v="4"/>
    <x v="4"/>
  </r>
  <r>
    <n v="191"/>
    <x v="8"/>
    <x v="0"/>
    <x v="0"/>
    <x v="0"/>
    <x v="5"/>
    <n v="0"/>
    <n v="0"/>
    <x v="0"/>
    <n v="1"/>
    <x v="19"/>
    <n v="9.0899999999999995E-2"/>
    <x v="45"/>
    <n v="0.19400000000000001"/>
    <x v="3"/>
    <x v="4"/>
    <x v="4"/>
  </r>
  <r>
    <n v="192"/>
    <x v="8"/>
    <x v="0"/>
    <x v="0"/>
    <x v="0"/>
    <x v="6"/>
    <n v="0"/>
    <n v="0"/>
    <x v="0"/>
    <n v="1"/>
    <x v="18"/>
    <n v="9.0899999999999995E-2"/>
    <x v="36"/>
    <n v="0.28360000000000002"/>
    <x v="3"/>
    <x v="4"/>
    <x v="4"/>
  </r>
  <r>
    <n v="193"/>
    <x v="8"/>
    <x v="0"/>
    <x v="0"/>
    <x v="0"/>
    <x v="7"/>
    <n v="0"/>
    <n v="0"/>
    <x v="0"/>
    <n v="1"/>
    <x v="19"/>
    <n v="9.0899999999999995E-2"/>
    <x v="45"/>
    <n v="0.19400000000000001"/>
    <x v="5"/>
    <x v="34"/>
    <x v="24"/>
  </r>
  <r>
    <n v="194"/>
    <x v="8"/>
    <x v="0"/>
    <x v="0"/>
    <x v="0"/>
    <x v="8"/>
    <n v="0"/>
    <n v="0"/>
    <x v="0"/>
    <n v="1"/>
    <x v="18"/>
    <n v="9.0899999999999995E-2"/>
    <x v="36"/>
    <n v="0.28360000000000002"/>
    <x v="3"/>
    <x v="3"/>
    <x v="98"/>
  </r>
  <r>
    <n v="195"/>
    <x v="8"/>
    <x v="0"/>
    <x v="0"/>
    <x v="0"/>
    <x v="9"/>
    <n v="0"/>
    <n v="0"/>
    <x v="0"/>
    <n v="1"/>
    <x v="16"/>
    <n v="7.5800000000000006E-2"/>
    <x v="15"/>
    <n v="0.52239999999999998"/>
    <x v="3"/>
    <x v="23"/>
    <x v="75"/>
  </r>
  <r>
    <n v="196"/>
    <x v="8"/>
    <x v="0"/>
    <x v="0"/>
    <x v="0"/>
    <x v="10"/>
    <n v="0"/>
    <n v="0"/>
    <x v="0"/>
    <n v="1"/>
    <x v="14"/>
    <n v="0.1061"/>
    <x v="21"/>
    <n v="0.3881"/>
    <x v="3"/>
    <x v="47"/>
    <x v="99"/>
  </r>
  <r>
    <n v="197"/>
    <x v="8"/>
    <x v="0"/>
    <x v="0"/>
    <x v="0"/>
    <x v="11"/>
    <n v="0"/>
    <n v="0"/>
    <x v="0"/>
    <n v="1"/>
    <x v="13"/>
    <n v="0.1212"/>
    <x v="22"/>
    <n v="0.52239999999999998"/>
    <x v="4"/>
    <x v="12"/>
    <x v="99"/>
  </r>
  <r>
    <n v="198"/>
    <x v="8"/>
    <x v="0"/>
    <x v="0"/>
    <x v="0"/>
    <x v="12"/>
    <n v="0"/>
    <n v="0"/>
    <x v="0"/>
    <n v="1"/>
    <x v="15"/>
    <n v="0.13639999999999999"/>
    <x v="38"/>
    <n v="0.44779999999999998"/>
    <x v="17"/>
    <x v="55"/>
    <x v="56"/>
  </r>
  <r>
    <n v="199"/>
    <x v="8"/>
    <x v="0"/>
    <x v="0"/>
    <x v="0"/>
    <x v="13"/>
    <n v="0"/>
    <n v="0"/>
    <x v="0"/>
    <n v="1"/>
    <x v="2"/>
    <n v="0.16669999999999999"/>
    <x v="46"/>
    <n v="0.44779999999999998"/>
    <x v="15"/>
    <x v="94"/>
    <x v="28"/>
  </r>
  <r>
    <n v="200"/>
    <x v="8"/>
    <x v="0"/>
    <x v="0"/>
    <x v="0"/>
    <x v="14"/>
    <n v="0"/>
    <n v="0"/>
    <x v="0"/>
    <n v="1"/>
    <x v="1"/>
    <n v="0.18179999999999999"/>
    <x v="25"/>
    <n v="0.4627"/>
    <x v="1"/>
    <x v="27"/>
    <x v="44"/>
  </r>
  <r>
    <n v="201"/>
    <x v="8"/>
    <x v="0"/>
    <x v="0"/>
    <x v="0"/>
    <x v="15"/>
    <n v="0"/>
    <n v="0"/>
    <x v="0"/>
    <n v="1"/>
    <x v="1"/>
    <n v="0.19700000000000001"/>
    <x v="23"/>
    <n v="0.35820000000000002"/>
    <x v="2"/>
    <x v="99"/>
    <x v="100"/>
  </r>
  <r>
    <n v="202"/>
    <x v="8"/>
    <x v="0"/>
    <x v="0"/>
    <x v="0"/>
    <x v="16"/>
    <n v="0"/>
    <n v="0"/>
    <x v="0"/>
    <n v="1"/>
    <x v="2"/>
    <n v="0.16669999999999999"/>
    <x v="46"/>
    <n v="0.44779999999999998"/>
    <x v="23"/>
    <x v="55"/>
    <x v="101"/>
  </r>
  <r>
    <n v="203"/>
    <x v="8"/>
    <x v="0"/>
    <x v="0"/>
    <x v="0"/>
    <x v="17"/>
    <n v="0"/>
    <n v="0"/>
    <x v="0"/>
    <n v="1"/>
    <x v="15"/>
    <n v="0.1515"/>
    <x v="38"/>
    <n v="0.3881"/>
    <x v="0"/>
    <x v="79"/>
    <x v="69"/>
  </r>
  <r>
    <n v="204"/>
    <x v="8"/>
    <x v="0"/>
    <x v="0"/>
    <x v="0"/>
    <x v="18"/>
    <n v="0"/>
    <n v="0"/>
    <x v="0"/>
    <n v="1"/>
    <x v="13"/>
    <n v="0.13639999999999999"/>
    <x v="22"/>
    <n v="0.32840000000000003"/>
    <x v="17"/>
    <x v="100"/>
    <x v="61"/>
  </r>
  <r>
    <n v="205"/>
    <x v="8"/>
    <x v="0"/>
    <x v="0"/>
    <x v="0"/>
    <x v="19"/>
    <n v="0"/>
    <n v="0"/>
    <x v="0"/>
    <n v="1"/>
    <x v="13"/>
    <n v="0.13639999999999999"/>
    <x v="21"/>
    <n v="0.32840000000000003"/>
    <x v="5"/>
    <x v="71"/>
    <x v="102"/>
  </r>
  <r>
    <n v="206"/>
    <x v="8"/>
    <x v="0"/>
    <x v="0"/>
    <x v="0"/>
    <x v="20"/>
    <n v="0"/>
    <n v="0"/>
    <x v="0"/>
    <n v="1"/>
    <x v="14"/>
    <n v="0.1212"/>
    <x v="15"/>
    <n v="0.25369999999999998"/>
    <x v="3"/>
    <x v="101"/>
    <x v="103"/>
  </r>
  <r>
    <n v="207"/>
    <x v="8"/>
    <x v="0"/>
    <x v="0"/>
    <x v="0"/>
    <x v="21"/>
    <n v="0"/>
    <n v="0"/>
    <x v="0"/>
    <n v="1"/>
    <x v="14"/>
    <n v="0.1061"/>
    <x v="15"/>
    <n v="0.41789999999999999"/>
    <x v="5"/>
    <x v="23"/>
    <x v="25"/>
  </r>
  <r>
    <n v="208"/>
    <x v="8"/>
    <x v="0"/>
    <x v="0"/>
    <x v="0"/>
    <x v="22"/>
    <n v="0"/>
    <n v="0"/>
    <x v="0"/>
    <n v="1"/>
    <x v="14"/>
    <n v="0.1212"/>
    <x v="15"/>
    <n v="0.29849999999999999"/>
    <x v="2"/>
    <x v="3"/>
    <x v="93"/>
  </r>
  <r>
    <n v="209"/>
    <x v="8"/>
    <x v="0"/>
    <x v="0"/>
    <x v="0"/>
    <x v="23"/>
    <n v="0"/>
    <n v="0"/>
    <x v="0"/>
    <n v="1"/>
    <x v="16"/>
    <n v="0.13639999999999999"/>
    <x v="20"/>
    <n v="0.19400000000000001"/>
    <x v="3"/>
    <x v="8"/>
    <x v="24"/>
  </r>
  <r>
    <n v="210"/>
    <x v="9"/>
    <x v="0"/>
    <x v="0"/>
    <x v="0"/>
    <x v="0"/>
    <n v="0"/>
    <n v="1"/>
    <x v="1"/>
    <n v="1"/>
    <x v="16"/>
    <n v="0.1212"/>
    <x v="20"/>
    <n v="0.28360000000000002"/>
    <x v="4"/>
    <x v="35"/>
    <x v="36"/>
  </r>
  <r>
    <n v="211"/>
    <x v="9"/>
    <x v="0"/>
    <x v="0"/>
    <x v="0"/>
    <x v="1"/>
    <n v="0"/>
    <n v="1"/>
    <x v="1"/>
    <n v="1"/>
    <x v="16"/>
    <n v="0.1212"/>
    <x v="20"/>
    <n v="0.28360000000000002"/>
    <x v="5"/>
    <x v="5"/>
    <x v="4"/>
  </r>
  <r>
    <n v="212"/>
    <x v="9"/>
    <x v="0"/>
    <x v="0"/>
    <x v="0"/>
    <x v="2"/>
    <n v="0"/>
    <n v="1"/>
    <x v="1"/>
    <n v="1"/>
    <x v="16"/>
    <n v="0.1212"/>
    <x v="20"/>
    <n v="0.22389999999999999"/>
    <x v="3"/>
    <x v="35"/>
    <x v="6"/>
  </r>
  <r>
    <n v="213"/>
    <x v="9"/>
    <x v="0"/>
    <x v="0"/>
    <x v="0"/>
    <x v="3"/>
    <n v="0"/>
    <n v="1"/>
    <x v="1"/>
    <n v="1"/>
    <x v="16"/>
    <n v="0.1212"/>
    <x v="20"/>
    <n v="0.22389999999999999"/>
    <x v="3"/>
    <x v="4"/>
    <x v="4"/>
  </r>
  <r>
    <n v="214"/>
    <x v="9"/>
    <x v="0"/>
    <x v="0"/>
    <x v="0"/>
    <x v="4"/>
    <n v="0"/>
    <n v="1"/>
    <x v="1"/>
    <n v="1"/>
    <x v="18"/>
    <n v="0.1212"/>
    <x v="47"/>
    <n v="0.1343"/>
    <x v="5"/>
    <x v="6"/>
    <x v="6"/>
  </r>
  <r>
    <n v="215"/>
    <x v="9"/>
    <x v="0"/>
    <x v="0"/>
    <x v="0"/>
    <x v="5"/>
    <n v="0"/>
    <n v="1"/>
    <x v="1"/>
    <n v="1"/>
    <x v="18"/>
    <n v="0.1061"/>
    <x v="47"/>
    <n v="0.25369999999999998"/>
    <x v="3"/>
    <x v="35"/>
    <x v="6"/>
  </r>
  <r>
    <n v="216"/>
    <x v="9"/>
    <x v="0"/>
    <x v="0"/>
    <x v="0"/>
    <x v="6"/>
    <n v="0"/>
    <n v="1"/>
    <x v="1"/>
    <n v="1"/>
    <x v="16"/>
    <n v="0.1212"/>
    <x v="20"/>
    <n v="0.28360000000000002"/>
    <x v="3"/>
    <x v="17"/>
    <x v="35"/>
  </r>
  <r>
    <n v="217"/>
    <x v="9"/>
    <x v="0"/>
    <x v="0"/>
    <x v="0"/>
    <x v="7"/>
    <n v="0"/>
    <n v="1"/>
    <x v="1"/>
    <n v="1"/>
    <x v="16"/>
    <n v="0.1212"/>
    <x v="20"/>
    <n v="0.22389999999999999"/>
    <x v="4"/>
    <x v="102"/>
    <x v="43"/>
  </r>
  <r>
    <n v="218"/>
    <x v="9"/>
    <x v="0"/>
    <x v="0"/>
    <x v="0"/>
    <x v="8"/>
    <n v="0"/>
    <n v="1"/>
    <x v="1"/>
    <n v="2"/>
    <x v="16"/>
    <n v="0.1212"/>
    <x v="20"/>
    <n v="0.28360000000000002"/>
    <x v="17"/>
    <x v="103"/>
    <x v="104"/>
  </r>
  <r>
    <n v="219"/>
    <x v="9"/>
    <x v="0"/>
    <x v="0"/>
    <x v="0"/>
    <x v="9"/>
    <n v="0"/>
    <n v="1"/>
    <x v="1"/>
    <n v="2"/>
    <x v="14"/>
    <n v="0.1212"/>
    <x v="20"/>
    <n v="0.25369999999999998"/>
    <x v="4"/>
    <x v="50"/>
    <x v="12"/>
  </r>
  <r>
    <n v="220"/>
    <x v="9"/>
    <x v="0"/>
    <x v="0"/>
    <x v="0"/>
    <x v="10"/>
    <n v="0"/>
    <n v="1"/>
    <x v="1"/>
    <n v="2"/>
    <x v="14"/>
    <n v="0.1212"/>
    <x v="20"/>
    <n v="0.29849999999999999"/>
    <x v="3"/>
    <x v="17"/>
    <x v="35"/>
  </r>
  <r>
    <n v="221"/>
    <x v="9"/>
    <x v="0"/>
    <x v="0"/>
    <x v="0"/>
    <x v="11"/>
    <n v="0"/>
    <n v="1"/>
    <x v="1"/>
    <n v="2"/>
    <x v="13"/>
    <n v="0.13639999999999999"/>
    <x v="19"/>
    <n v="0.28360000000000002"/>
    <x v="4"/>
    <x v="95"/>
    <x v="33"/>
  </r>
  <r>
    <n v="222"/>
    <x v="9"/>
    <x v="0"/>
    <x v="0"/>
    <x v="0"/>
    <x v="12"/>
    <n v="0"/>
    <n v="1"/>
    <x v="1"/>
    <n v="2"/>
    <x v="2"/>
    <n v="0.18179999999999999"/>
    <x v="22"/>
    <n v="0.28360000000000002"/>
    <x v="2"/>
    <x v="12"/>
    <x v="46"/>
  </r>
  <r>
    <n v="223"/>
    <x v="9"/>
    <x v="0"/>
    <x v="0"/>
    <x v="0"/>
    <x v="13"/>
    <n v="0"/>
    <n v="1"/>
    <x v="1"/>
    <n v="2"/>
    <x v="2"/>
    <n v="0.18179999999999999"/>
    <x v="22"/>
    <n v="0.28360000000000002"/>
    <x v="17"/>
    <x v="54"/>
    <x v="60"/>
  </r>
  <r>
    <n v="224"/>
    <x v="9"/>
    <x v="0"/>
    <x v="0"/>
    <x v="0"/>
    <x v="14"/>
    <n v="0"/>
    <n v="1"/>
    <x v="1"/>
    <n v="2"/>
    <x v="2"/>
    <n v="0.19700000000000001"/>
    <x v="22"/>
    <n v="0.22389999999999999"/>
    <x v="3"/>
    <x v="12"/>
    <x v="105"/>
  </r>
  <r>
    <n v="225"/>
    <x v="9"/>
    <x v="0"/>
    <x v="0"/>
    <x v="0"/>
    <x v="15"/>
    <n v="0"/>
    <n v="1"/>
    <x v="1"/>
    <n v="2"/>
    <x v="2"/>
    <n v="0.19700000000000001"/>
    <x v="22"/>
    <n v="0.22389999999999999"/>
    <x v="4"/>
    <x v="30"/>
    <x v="79"/>
  </r>
  <r>
    <n v="226"/>
    <x v="9"/>
    <x v="0"/>
    <x v="0"/>
    <x v="0"/>
    <x v="16"/>
    <n v="0"/>
    <n v="1"/>
    <x v="1"/>
    <n v="1"/>
    <x v="2"/>
    <n v="0.21210000000000001"/>
    <x v="22"/>
    <n v="0.1343"/>
    <x v="17"/>
    <x v="14"/>
    <x v="30"/>
  </r>
  <r>
    <n v="227"/>
    <x v="9"/>
    <x v="0"/>
    <x v="0"/>
    <x v="0"/>
    <x v="17"/>
    <n v="0"/>
    <n v="1"/>
    <x v="1"/>
    <n v="1"/>
    <x v="2"/>
    <n v="0.2273"/>
    <x v="22"/>
    <n v="0.1045"/>
    <x v="17"/>
    <x v="104"/>
    <x v="106"/>
  </r>
  <r>
    <n v="228"/>
    <x v="9"/>
    <x v="0"/>
    <x v="0"/>
    <x v="0"/>
    <x v="18"/>
    <n v="0"/>
    <n v="1"/>
    <x v="1"/>
    <n v="1"/>
    <x v="2"/>
    <n v="0.19700000000000001"/>
    <x v="22"/>
    <n v="0.22389999999999999"/>
    <x v="5"/>
    <x v="105"/>
    <x v="107"/>
  </r>
  <r>
    <n v="229"/>
    <x v="9"/>
    <x v="0"/>
    <x v="0"/>
    <x v="0"/>
    <x v="19"/>
    <n v="0"/>
    <n v="1"/>
    <x v="1"/>
    <n v="1"/>
    <x v="13"/>
    <n v="0.16669999999999999"/>
    <x v="19"/>
    <n v="0.16420000000000001"/>
    <x v="0"/>
    <x v="50"/>
    <x v="76"/>
  </r>
  <r>
    <n v="230"/>
    <x v="9"/>
    <x v="0"/>
    <x v="0"/>
    <x v="0"/>
    <x v="20"/>
    <n v="0"/>
    <n v="1"/>
    <x v="1"/>
    <n v="1"/>
    <x v="13"/>
    <n v="0.16669999999999999"/>
    <x v="20"/>
    <n v="0.16420000000000001"/>
    <x v="5"/>
    <x v="26"/>
    <x v="30"/>
  </r>
  <r>
    <n v="231"/>
    <x v="9"/>
    <x v="0"/>
    <x v="0"/>
    <x v="0"/>
    <x v="21"/>
    <n v="0"/>
    <n v="1"/>
    <x v="1"/>
    <n v="1"/>
    <x v="14"/>
    <n v="0.13639999999999999"/>
    <x v="29"/>
    <n v="0.19400000000000001"/>
    <x v="5"/>
    <x v="53"/>
    <x v="103"/>
  </r>
  <r>
    <n v="232"/>
    <x v="9"/>
    <x v="0"/>
    <x v="0"/>
    <x v="0"/>
    <x v="22"/>
    <n v="0"/>
    <n v="1"/>
    <x v="1"/>
    <n v="1"/>
    <x v="14"/>
    <n v="0.1515"/>
    <x v="29"/>
    <n v="0.16420000000000001"/>
    <x v="4"/>
    <x v="97"/>
    <x v="108"/>
  </r>
  <r>
    <n v="233"/>
    <x v="9"/>
    <x v="0"/>
    <x v="0"/>
    <x v="0"/>
    <x v="23"/>
    <n v="0"/>
    <n v="1"/>
    <x v="1"/>
    <n v="1"/>
    <x v="14"/>
    <n v="0.1515"/>
    <x v="29"/>
    <n v="0.16420000000000001"/>
    <x v="3"/>
    <x v="72"/>
    <x v="109"/>
  </r>
  <r>
    <n v="234"/>
    <x v="10"/>
    <x v="0"/>
    <x v="0"/>
    <x v="0"/>
    <x v="0"/>
    <n v="0"/>
    <n v="2"/>
    <x v="1"/>
    <n v="1"/>
    <x v="14"/>
    <n v="0.16669999999999999"/>
    <x v="29"/>
    <n v="0.1045"/>
    <x v="4"/>
    <x v="3"/>
    <x v="47"/>
  </r>
  <r>
    <n v="235"/>
    <x v="10"/>
    <x v="0"/>
    <x v="0"/>
    <x v="0"/>
    <x v="1"/>
    <n v="0"/>
    <n v="2"/>
    <x v="1"/>
    <n v="1"/>
    <x v="14"/>
    <n v="0.1515"/>
    <x v="29"/>
    <n v="0.16420000000000001"/>
    <x v="3"/>
    <x v="35"/>
    <x v="6"/>
  </r>
  <r>
    <n v="236"/>
    <x v="10"/>
    <x v="0"/>
    <x v="0"/>
    <x v="0"/>
    <x v="2"/>
    <n v="0"/>
    <n v="2"/>
    <x v="1"/>
    <n v="2"/>
    <x v="13"/>
    <n v="0.1515"/>
    <x v="28"/>
    <n v="0.19400000000000001"/>
    <x v="3"/>
    <x v="35"/>
    <x v="6"/>
  </r>
  <r>
    <n v="237"/>
    <x v="10"/>
    <x v="0"/>
    <x v="0"/>
    <x v="0"/>
    <x v="5"/>
    <n v="0"/>
    <n v="2"/>
    <x v="1"/>
    <n v="2"/>
    <x v="13"/>
    <n v="0.18179999999999999"/>
    <x v="28"/>
    <n v="0.1343"/>
    <x v="3"/>
    <x v="8"/>
    <x v="24"/>
  </r>
  <r>
    <n v="238"/>
    <x v="10"/>
    <x v="0"/>
    <x v="0"/>
    <x v="0"/>
    <x v="6"/>
    <n v="0"/>
    <n v="2"/>
    <x v="1"/>
    <n v="2"/>
    <x v="13"/>
    <n v="0.18179999999999999"/>
    <x v="28"/>
    <n v="0.1343"/>
    <x v="3"/>
    <x v="2"/>
    <x v="110"/>
  </r>
  <r>
    <n v="239"/>
    <x v="10"/>
    <x v="0"/>
    <x v="0"/>
    <x v="0"/>
    <x v="7"/>
    <n v="0"/>
    <n v="2"/>
    <x v="1"/>
    <n v="2"/>
    <x v="13"/>
    <n v="0.2273"/>
    <x v="28"/>
    <n v="0"/>
    <x v="4"/>
    <x v="106"/>
    <x v="111"/>
  </r>
  <r>
    <n v="240"/>
    <x v="10"/>
    <x v="0"/>
    <x v="0"/>
    <x v="0"/>
    <x v="8"/>
    <n v="0"/>
    <n v="2"/>
    <x v="1"/>
    <n v="2"/>
    <x v="15"/>
    <n v="0.21210000000000001"/>
    <x v="33"/>
    <n v="8.9599999999999999E-2"/>
    <x v="0"/>
    <x v="107"/>
    <x v="112"/>
  </r>
  <r>
    <n v="241"/>
    <x v="10"/>
    <x v="0"/>
    <x v="0"/>
    <x v="0"/>
    <x v="9"/>
    <n v="0"/>
    <n v="2"/>
    <x v="1"/>
    <n v="2"/>
    <x v="15"/>
    <n v="0.19700000000000001"/>
    <x v="33"/>
    <n v="0.16420000000000001"/>
    <x v="0"/>
    <x v="69"/>
    <x v="113"/>
  </r>
  <r>
    <n v="242"/>
    <x v="10"/>
    <x v="0"/>
    <x v="0"/>
    <x v="0"/>
    <x v="10"/>
    <n v="0"/>
    <n v="2"/>
    <x v="1"/>
    <n v="2"/>
    <x v="2"/>
    <n v="0.21210000000000001"/>
    <x v="33"/>
    <n v="0.16420000000000001"/>
    <x v="0"/>
    <x v="82"/>
    <x v="60"/>
  </r>
  <r>
    <n v="243"/>
    <x v="10"/>
    <x v="0"/>
    <x v="0"/>
    <x v="0"/>
    <x v="11"/>
    <n v="0"/>
    <n v="2"/>
    <x v="1"/>
    <n v="2"/>
    <x v="2"/>
    <n v="0.21210000000000001"/>
    <x v="19"/>
    <n v="0.1343"/>
    <x v="17"/>
    <x v="17"/>
    <x v="17"/>
  </r>
  <r>
    <n v="244"/>
    <x v="10"/>
    <x v="0"/>
    <x v="0"/>
    <x v="0"/>
    <x v="12"/>
    <n v="0"/>
    <n v="2"/>
    <x v="1"/>
    <n v="2"/>
    <x v="2"/>
    <n v="0.2273"/>
    <x v="33"/>
    <n v="0.1045"/>
    <x v="4"/>
    <x v="11"/>
    <x v="52"/>
  </r>
  <r>
    <n v="245"/>
    <x v="10"/>
    <x v="0"/>
    <x v="0"/>
    <x v="0"/>
    <x v="13"/>
    <n v="0"/>
    <n v="2"/>
    <x v="1"/>
    <n v="2"/>
    <x v="2"/>
    <n v="0.2273"/>
    <x v="29"/>
    <n v="8.9599999999999999E-2"/>
    <x v="15"/>
    <x v="24"/>
    <x v="46"/>
  </r>
  <r>
    <n v="246"/>
    <x v="10"/>
    <x v="0"/>
    <x v="0"/>
    <x v="0"/>
    <x v="14"/>
    <n v="0"/>
    <n v="2"/>
    <x v="1"/>
    <n v="2"/>
    <x v="2"/>
    <n v="0.2273"/>
    <x v="29"/>
    <n v="8.9599999999999999E-2"/>
    <x v="0"/>
    <x v="91"/>
    <x v="55"/>
  </r>
  <r>
    <n v="247"/>
    <x v="10"/>
    <x v="0"/>
    <x v="0"/>
    <x v="0"/>
    <x v="15"/>
    <n v="0"/>
    <n v="2"/>
    <x v="1"/>
    <n v="2"/>
    <x v="13"/>
    <n v="0.19700000000000001"/>
    <x v="1"/>
    <n v="8.9599999999999999E-2"/>
    <x v="4"/>
    <x v="108"/>
    <x v="105"/>
  </r>
  <r>
    <n v="248"/>
    <x v="10"/>
    <x v="0"/>
    <x v="0"/>
    <x v="0"/>
    <x v="16"/>
    <n v="0"/>
    <n v="2"/>
    <x v="1"/>
    <n v="2"/>
    <x v="13"/>
    <n v="0.1515"/>
    <x v="3"/>
    <n v="0.22389999999999999"/>
    <x v="17"/>
    <x v="109"/>
    <x v="31"/>
  </r>
  <r>
    <n v="249"/>
    <x v="10"/>
    <x v="0"/>
    <x v="0"/>
    <x v="0"/>
    <x v="17"/>
    <n v="0"/>
    <n v="2"/>
    <x v="1"/>
    <n v="2"/>
    <x v="13"/>
    <n v="0.1515"/>
    <x v="3"/>
    <n v="0.22389999999999999"/>
    <x v="15"/>
    <x v="110"/>
    <x v="114"/>
  </r>
  <r>
    <n v="250"/>
    <x v="10"/>
    <x v="0"/>
    <x v="0"/>
    <x v="0"/>
    <x v="18"/>
    <n v="0"/>
    <n v="2"/>
    <x v="1"/>
    <n v="3"/>
    <x v="13"/>
    <n v="0.18179999999999999"/>
    <x v="43"/>
    <n v="0.1045"/>
    <x v="5"/>
    <x v="111"/>
    <x v="76"/>
  </r>
  <r>
    <n v="251"/>
    <x v="10"/>
    <x v="0"/>
    <x v="0"/>
    <x v="0"/>
    <x v="19"/>
    <n v="0"/>
    <n v="2"/>
    <x v="1"/>
    <n v="3"/>
    <x v="13"/>
    <n v="0.2273"/>
    <x v="43"/>
    <n v="0"/>
    <x v="3"/>
    <x v="82"/>
    <x v="41"/>
  </r>
  <r>
    <n v="252"/>
    <x v="10"/>
    <x v="0"/>
    <x v="0"/>
    <x v="0"/>
    <x v="20"/>
    <n v="0"/>
    <n v="2"/>
    <x v="1"/>
    <n v="3"/>
    <x v="13"/>
    <n v="0.1515"/>
    <x v="43"/>
    <n v="0.19400000000000001"/>
    <x v="3"/>
    <x v="1"/>
    <x v="2"/>
  </r>
  <r>
    <n v="253"/>
    <x v="10"/>
    <x v="0"/>
    <x v="0"/>
    <x v="0"/>
    <x v="21"/>
    <n v="0"/>
    <n v="2"/>
    <x v="1"/>
    <n v="3"/>
    <x v="13"/>
    <n v="0.19700000000000001"/>
    <x v="3"/>
    <n v="8.9599999999999999E-2"/>
    <x v="3"/>
    <x v="32"/>
    <x v="25"/>
  </r>
  <r>
    <n v="254"/>
    <x v="10"/>
    <x v="0"/>
    <x v="0"/>
    <x v="0"/>
    <x v="22"/>
    <n v="0"/>
    <n v="2"/>
    <x v="1"/>
    <n v="3"/>
    <x v="13"/>
    <n v="0.18179999999999999"/>
    <x v="43"/>
    <n v="0.1045"/>
    <x v="5"/>
    <x v="95"/>
    <x v="115"/>
  </r>
  <r>
    <n v="255"/>
    <x v="10"/>
    <x v="0"/>
    <x v="0"/>
    <x v="0"/>
    <x v="23"/>
    <n v="0"/>
    <n v="2"/>
    <x v="1"/>
    <n v="3"/>
    <x v="13"/>
    <n v="0.19700000000000001"/>
    <x v="43"/>
    <n v="8.9599999999999999E-2"/>
    <x v="5"/>
    <x v="72"/>
    <x v="75"/>
  </r>
  <r>
    <n v="256"/>
    <x v="11"/>
    <x v="0"/>
    <x v="0"/>
    <x v="0"/>
    <x v="0"/>
    <n v="0"/>
    <n v="3"/>
    <x v="1"/>
    <n v="2"/>
    <x v="13"/>
    <n v="0.19700000000000001"/>
    <x v="3"/>
    <n v="8.9599999999999999E-2"/>
    <x v="3"/>
    <x v="7"/>
    <x v="85"/>
  </r>
  <r>
    <n v="257"/>
    <x v="11"/>
    <x v="0"/>
    <x v="0"/>
    <x v="0"/>
    <x v="1"/>
    <n v="0"/>
    <n v="3"/>
    <x v="1"/>
    <n v="2"/>
    <x v="13"/>
    <n v="0.18179999999999999"/>
    <x v="3"/>
    <n v="0.1045"/>
    <x v="3"/>
    <x v="8"/>
    <x v="24"/>
  </r>
  <r>
    <n v="258"/>
    <x v="11"/>
    <x v="0"/>
    <x v="0"/>
    <x v="0"/>
    <x v="2"/>
    <n v="0"/>
    <n v="3"/>
    <x v="1"/>
    <n v="1"/>
    <x v="14"/>
    <n v="0.1515"/>
    <x v="3"/>
    <n v="0.1343"/>
    <x v="3"/>
    <x v="4"/>
    <x v="4"/>
  </r>
  <r>
    <n v="259"/>
    <x v="11"/>
    <x v="0"/>
    <x v="0"/>
    <x v="0"/>
    <x v="5"/>
    <n v="0"/>
    <n v="3"/>
    <x v="1"/>
    <n v="1"/>
    <x v="14"/>
    <n v="0.1515"/>
    <x v="3"/>
    <n v="0.16420000000000001"/>
    <x v="3"/>
    <x v="34"/>
    <x v="36"/>
  </r>
  <r>
    <n v="260"/>
    <x v="11"/>
    <x v="0"/>
    <x v="0"/>
    <x v="0"/>
    <x v="6"/>
    <n v="0"/>
    <n v="3"/>
    <x v="1"/>
    <n v="1"/>
    <x v="16"/>
    <n v="0.1515"/>
    <x v="43"/>
    <n v="0.1343"/>
    <x v="3"/>
    <x v="20"/>
    <x v="0"/>
  </r>
  <r>
    <n v="261"/>
    <x v="11"/>
    <x v="0"/>
    <x v="0"/>
    <x v="0"/>
    <x v="7"/>
    <n v="0"/>
    <n v="3"/>
    <x v="1"/>
    <n v="1"/>
    <x v="14"/>
    <n v="0.1515"/>
    <x v="27"/>
    <n v="0.1343"/>
    <x v="3"/>
    <x v="25"/>
    <x v="60"/>
  </r>
  <r>
    <n v="262"/>
    <x v="11"/>
    <x v="0"/>
    <x v="0"/>
    <x v="0"/>
    <x v="8"/>
    <n v="0"/>
    <n v="3"/>
    <x v="1"/>
    <n v="1"/>
    <x v="13"/>
    <n v="0.16669999999999999"/>
    <x v="29"/>
    <n v="0.16420000000000001"/>
    <x v="0"/>
    <x v="85"/>
    <x v="116"/>
  </r>
  <r>
    <n v="263"/>
    <x v="11"/>
    <x v="0"/>
    <x v="0"/>
    <x v="0"/>
    <x v="9"/>
    <n v="0"/>
    <n v="3"/>
    <x v="1"/>
    <n v="1"/>
    <x v="13"/>
    <n v="0.13639999999999999"/>
    <x v="29"/>
    <n v="0.32840000000000003"/>
    <x v="0"/>
    <x v="78"/>
    <x v="117"/>
  </r>
  <r>
    <n v="264"/>
    <x v="11"/>
    <x v="0"/>
    <x v="0"/>
    <x v="0"/>
    <x v="10"/>
    <n v="0"/>
    <n v="3"/>
    <x v="1"/>
    <n v="1"/>
    <x v="15"/>
    <n v="0.18179999999999999"/>
    <x v="28"/>
    <n v="0.22389999999999999"/>
    <x v="3"/>
    <x v="87"/>
    <x v="21"/>
  </r>
  <r>
    <n v="265"/>
    <x v="11"/>
    <x v="0"/>
    <x v="0"/>
    <x v="0"/>
    <x v="11"/>
    <n v="0"/>
    <n v="3"/>
    <x v="1"/>
    <n v="1"/>
    <x v="2"/>
    <n v="0.18179999999999999"/>
    <x v="33"/>
    <n v="0.3881"/>
    <x v="0"/>
    <x v="1"/>
    <x v="17"/>
  </r>
  <r>
    <n v="266"/>
    <x v="11"/>
    <x v="0"/>
    <x v="0"/>
    <x v="0"/>
    <x v="12"/>
    <n v="0"/>
    <n v="3"/>
    <x v="1"/>
    <n v="1"/>
    <x v="2"/>
    <n v="0.1515"/>
    <x v="19"/>
    <n v="0.58209999999999995"/>
    <x v="0"/>
    <x v="15"/>
    <x v="97"/>
  </r>
  <r>
    <n v="267"/>
    <x v="11"/>
    <x v="0"/>
    <x v="0"/>
    <x v="0"/>
    <x v="13"/>
    <n v="0"/>
    <n v="3"/>
    <x v="1"/>
    <n v="1"/>
    <x v="1"/>
    <n v="0.19700000000000001"/>
    <x v="18"/>
    <n v="0.35820000000000002"/>
    <x v="3"/>
    <x v="47"/>
    <x v="99"/>
  </r>
  <r>
    <n v="268"/>
    <x v="11"/>
    <x v="0"/>
    <x v="0"/>
    <x v="0"/>
    <x v="14"/>
    <n v="0"/>
    <n v="3"/>
    <x v="1"/>
    <n v="1"/>
    <x v="2"/>
    <n v="0.18179999999999999"/>
    <x v="19"/>
    <n v="0.32840000000000003"/>
    <x v="3"/>
    <x v="100"/>
    <x v="40"/>
  </r>
  <r>
    <n v="269"/>
    <x v="11"/>
    <x v="0"/>
    <x v="0"/>
    <x v="0"/>
    <x v="15"/>
    <n v="0"/>
    <n v="3"/>
    <x v="1"/>
    <n v="1"/>
    <x v="2"/>
    <n v="0.16669999999999999"/>
    <x v="19"/>
    <n v="0.41789999999999999"/>
    <x v="5"/>
    <x v="41"/>
    <x v="99"/>
  </r>
  <r>
    <n v="270"/>
    <x v="11"/>
    <x v="0"/>
    <x v="0"/>
    <x v="0"/>
    <x v="16"/>
    <n v="0"/>
    <n v="3"/>
    <x v="1"/>
    <n v="1"/>
    <x v="1"/>
    <n v="0.19700000000000001"/>
    <x v="18"/>
    <n v="0.32840000000000003"/>
    <x v="2"/>
    <x v="36"/>
    <x v="118"/>
  </r>
  <r>
    <n v="271"/>
    <x v="11"/>
    <x v="0"/>
    <x v="0"/>
    <x v="0"/>
    <x v="17"/>
    <n v="0"/>
    <n v="3"/>
    <x v="1"/>
    <n v="1"/>
    <x v="2"/>
    <n v="0.18179999999999999"/>
    <x v="19"/>
    <n v="0.35820000000000002"/>
    <x v="3"/>
    <x v="112"/>
    <x v="119"/>
  </r>
  <r>
    <n v="272"/>
    <x v="11"/>
    <x v="0"/>
    <x v="0"/>
    <x v="0"/>
    <x v="18"/>
    <n v="0"/>
    <n v="3"/>
    <x v="1"/>
    <n v="1"/>
    <x v="2"/>
    <n v="0.1515"/>
    <x v="19"/>
    <n v="0.52239999999999998"/>
    <x v="4"/>
    <x v="113"/>
    <x v="120"/>
  </r>
  <r>
    <n v="273"/>
    <x v="11"/>
    <x v="0"/>
    <x v="0"/>
    <x v="0"/>
    <x v="19"/>
    <n v="0"/>
    <n v="3"/>
    <x v="1"/>
    <n v="1"/>
    <x v="15"/>
    <n v="0.1515"/>
    <x v="19"/>
    <n v="0.41789999999999999"/>
    <x v="5"/>
    <x v="70"/>
    <x v="56"/>
  </r>
  <r>
    <n v="274"/>
    <x v="11"/>
    <x v="0"/>
    <x v="0"/>
    <x v="0"/>
    <x v="20"/>
    <n v="0"/>
    <n v="3"/>
    <x v="1"/>
    <n v="1"/>
    <x v="13"/>
    <n v="0.13639999999999999"/>
    <x v="20"/>
    <n v="0.32840000000000003"/>
    <x v="4"/>
    <x v="25"/>
    <x v="10"/>
  </r>
  <r>
    <n v="275"/>
    <x v="11"/>
    <x v="0"/>
    <x v="0"/>
    <x v="0"/>
    <x v="21"/>
    <n v="0"/>
    <n v="3"/>
    <x v="1"/>
    <n v="1"/>
    <x v="13"/>
    <n v="0.13639999999999999"/>
    <x v="28"/>
    <n v="0.32840000000000003"/>
    <x v="3"/>
    <x v="77"/>
    <x v="52"/>
  </r>
  <r>
    <n v="276"/>
    <x v="11"/>
    <x v="0"/>
    <x v="0"/>
    <x v="0"/>
    <x v="22"/>
    <n v="0"/>
    <n v="3"/>
    <x v="1"/>
    <n v="1"/>
    <x v="13"/>
    <n v="0.1212"/>
    <x v="28"/>
    <n v="0.44779999999999998"/>
    <x v="5"/>
    <x v="1"/>
    <x v="63"/>
  </r>
  <r>
    <n v="277"/>
    <x v="11"/>
    <x v="0"/>
    <x v="0"/>
    <x v="0"/>
    <x v="23"/>
    <n v="0"/>
    <n v="3"/>
    <x v="1"/>
    <n v="1"/>
    <x v="14"/>
    <n v="0.1061"/>
    <x v="29"/>
    <n v="0.41789999999999999"/>
    <x v="5"/>
    <x v="23"/>
    <x v="25"/>
  </r>
  <r>
    <n v="278"/>
    <x v="12"/>
    <x v="0"/>
    <x v="0"/>
    <x v="0"/>
    <x v="0"/>
    <n v="0"/>
    <n v="4"/>
    <x v="1"/>
    <n v="1"/>
    <x v="14"/>
    <n v="0.1212"/>
    <x v="29"/>
    <n v="0.28360000000000002"/>
    <x v="5"/>
    <x v="8"/>
    <x v="85"/>
  </r>
  <r>
    <n v="279"/>
    <x v="12"/>
    <x v="0"/>
    <x v="0"/>
    <x v="0"/>
    <x v="1"/>
    <n v="0"/>
    <n v="4"/>
    <x v="1"/>
    <n v="1"/>
    <x v="14"/>
    <n v="0.1212"/>
    <x v="20"/>
    <n v="0.28360000000000002"/>
    <x v="3"/>
    <x v="6"/>
    <x v="5"/>
  </r>
  <r>
    <n v="280"/>
    <x v="12"/>
    <x v="0"/>
    <x v="0"/>
    <x v="0"/>
    <x v="2"/>
    <n v="0"/>
    <n v="4"/>
    <x v="1"/>
    <n v="1"/>
    <x v="14"/>
    <n v="0.1212"/>
    <x v="20"/>
    <n v="0.35820000000000002"/>
    <x v="3"/>
    <x v="6"/>
    <x v="5"/>
  </r>
  <r>
    <n v="281"/>
    <x v="12"/>
    <x v="0"/>
    <x v="0"/>
    <x v="0"/>
    <x v="3"/>
    <n v="0"/>
    <n v="4"/>
    <x v="1"/>
    <n v="1"/>
    <x v="14"/>
    <n v="0.1212"/>
    <x v="20"/>
    <n v="0.32840000000000003"/>
    <x v="3"/>
    <x v="35"/>
    <x v="6"/>
  </r>
  <r>
    <n v="282"/>
    <x v="12"/>
    <x v="0"/>
    <x v="0"/>
    <x v="0"/>
    <x v="4"/>
    <n v="0"/>
    <n v="4"/>
    <x v="1"/>
    <n v="1"/>
    <x v="14"/>
    <n v="0.1212"/>
    <x v="20"/>
    <n v="0.25369999999999998"/>
    <x v="3"/>
    <x v="22"/>
    <x v="48"/>
  </r>
  <r>
    <n v="283"/>
    <x v="12"/>
    <x v="0"/>
    <x v="0"/>
    <x v="0"/>
    <x v="5"/>
    <n v="0"/>
    <n v="4"/>
    <x v="1"/>
    <n v="1"/>
    <x v="14"/>
    <n v="0.1212"/>
    <x v="20"/>
    <n v="0.29849999999999999"/>
    <x v="3"/>
    <x v="35"/>
    <x v="6"/>
  </r>
  <r>
    <n v="284"/>
    <x v="12"/>
    <x v="0"/>
    <x v="0"/>
    <x v="0"/>
    <x v="6"/>
    <n v="0"/>
    <n v="4"/>
    <x v="1"/>
    <n v="1"/>
    <x v="16"/>
    <n v="0.1515"/>
    <x v="47"/>
    <n v="0.1343"/>
    <x v="3"/>
    <x v="95"/>
    <x v="20"/>
  </r>
  <r>
    <n v="285"/>
    <x v="12"/>
    <x v="0"/>
    <x v="0"/>
    <x v="0"/>
    <x v="7"/>
    <n v="0"/>
    <n v="4"/>
    <x v="1"/>
    <n v="1"/>
    <x v="16"/>
    <n v="0.1515"/>
    <x v="47"/>
    <n v="0.1343"/>
    <x v="3"/>
    <x v="109"/>
    <x v="44"/>
  </r>
  <r>
    <n v="286"/>
    <x v="12"/>
    <x v="0"/>
    <x v="0"/>
    <x v="0"/>
    <x v="8"/>
    <n v="0"/>
    <n v="4"/>
    <x v="1"/>
    <n v="1"/>
    <x v="14"/>
    <n v="0.13639999999999999"/>
    <x v="20"/>
    <n v="0.19400000000000001"/>
    <x v="2"/>
    <x v="114"/>
    <x v="121"/>
  </r>
  <r>
    <n v="287"/>
    <x v="12"/>
    <x v="0"/>
    <x v="0"/>
    <x v="0"/>
    <x v="9"/>
    <n v="0"/>
    <n v="4"/>
    <x v="1"/>
    <n v="1"/>
    <x v="14"/>
    <n v="0.1212"/>
    <x v="20"/>
    <n v="0.32840000000000003"/>
    <x v="4"/>
    <x v="115"/>
    <x v="119"/>
  </r>
  <r>
    <n v="288"/>
    <x v="12"/>
    <x v="0"/>
    <x v="0"/>
    <x v="0"/>
    <x v="10"/>
    <n v="0"/>
    <n v="4"/>
    <x v="1"/>
    <n v="2"/>
    <x v="13"/>
    <n v="0.13639999999999999"/>
    <x v="20"/>
    <n v="0.35820000000000002"/>
    <x v="4"/>
    <x v="49"/>
    <x v="103"/>
  </r>
  <r>
    <n v="289"/>
    <x v="12"/>
    <x v="0"/>
    <x v="0"/>
    <x v="0"/>
    <x v="11"/>
    <n v="0"/>
    <n v="4"/>
    <x v="1"/>
    <n v="2"/>
    <x v="2"/>
    <n v="0.16669999999999999"/>
    <x v="18"/>
    <n v="0.44779999999999998"/>
    <x v="17"/>
    <x v="39"/>
    <x v="18"/>
  </r>
  <r>
    <n v="290"/>
    <x v="12"/>
    <x v="0"/>
    <x v="0"/>
    <x v="0"/>
    <x v="12"/>
    <n v="0"/>
    <n v="4"/>
    <x v="1"/>
    <n v="1"/>
    <x v="2"/>
    <n v="0.16669999999999999"/>
    <x v="18"/>
    <n v="0.41789999999999999"/>
    <x v="0"/>
    <x v="47"/>
    <x v="46"/>
  </r>
  <r>
    <n v="291"/>
    <x v="12"/>
    <x v="0"/>
    <x v="0"/>
    <x v="0"/>
    <x v="13"/>
    <n v="0"/>
    <n v="4"/>
    <x v="1"/>
    <n v="1"/>
    <x v="1"/>
    <n v="0.19700000000000001"/>
    <x v="48"/>
    <n v="0.44779999999999998"/>
    <x v="4"/>
    <x v="38"/>
    <x v="56"/>
  </r>
  <r>
    <n v="292"/>
    <x v="12"/>
    <x v="0"/>
    <x v="0"/>
    <x v="0"/>
    <x v="14"/>
    <n v="0"/>
    <n v="4"/>
    <x v="1"/>
    <n v="1"/>
    <x v="1"/>
    <n v="0.19700000000000001"/>
    <x v="48"/>
    <n v="0.3881"/>
    <x v="0"/>
    <x v="87"/>
    <x v="51"/>
  </r>
  <r>
    <n v="293"/>
    <x v="12"/>
    <x v="0"/>
    <x v="0"/>
    <x v="0"/>
    <x v="15"/>
    <n v="0"/>
    <n v="4"/>
    <x v="1"/>
    <n v="1"/>
    <x v="0"/>
    <n v="0.21210000000000001"/>
    <x v="41"/>
    <n v="0.29849999999999999"/>
    <x v="2"/>
    <x v="11"/>
    <x v="122"/>
  </r>
  <r>
    <n v="294"/>
    <x v="12"/>
    <x v="0"/>
    <x v="0"/>
    <x v="0"/>
    <x v="16"/>
    <n v="0"/>
    <n v="4"/>
    <x v="1"/>
    <n v="1"/>
    <x v="0"/>
    <n v="0.21210000000000001"/>
    <x v="41"/>
    <n v="0.35820000000000002"/>
    <x v="4"/>
    <x v="83"/>
    <x v="53"/>
  </r>
  <r>
    <n v="295"/>
    <x v="12"/>
    <x v="0"/>
    <x v="0"/>
    <x v="0"/>
    <x v="17"/>
    <n v="0"/>
    <n v="4"/>
    <x v="1"/>
    <n v="1"/>
    <x v="2"/>
    <n v="0.18179999999999999"/>
    <x v="22"/>
    <n v="0.28360000000000002"/>
    <x v="17"/>
    <x v="81"/>
    <x v="123"/>
  </r>
  <r>
    <n v="296"/>
    <x v="12"/>
    <x v="0"/>
    <x v="0"/>
    <x v="0"/>
    <x v="18"/>
    <n v="0"/>
    <n v="4"/>
    <x v="1"/>
    <n v="1"/>
    <x v="2"/>
    <n v="0.18179999999999999"/>
    <x v="22"/>
    <n v="0.32840000000000003"/>
    <x v="0"/>
    <x v="116"/>
    <x v="124"/>
  </r>
  <r>
    <n v="297"/>
    <x v="12"/>
    <x v="0"/>
    <x v="0"/>
    <x v="0"/>
    <x v="19"/>
    <n v="0"/>
    <n v="4"/>
    <x v="1"/>
    <n v="1"/>
    <x v="13"/>
    <n v="0.1515"/>
    <x v="19"/>
    <n v="0.25369999999999998"/>
    <x v="5"/>
    <x v="52"/>
    <x v="111"/>
  </r>
  <r>
    <n v="298"/>
    <x v="12"/>
    <x v="0"/>
    <x v="0"/>
    <x v="0"/>
    <x v="20"/>
    <n v="0"/>
    <n v="4"/>
    <x v="1"/>
    <n v="1"/>
    <x v="13"/>
    <n v="0.1515"/>
    <x v="19"/>
    <n v="0.22389999999999999"/>
    <x v="3"/>
    <x v="27"/>
    <x v="37"/>
  </r>
  <r>
    <n v="299"/>
    <x v="12"/>
    <x v="0"/>
    <x v="0"/>
    <x v="0"/>
    <x v="21"/>
    <n v="0"/>
    <n v="4"/>
    <x v="1"/>
    <n v="1"/>
    <x v="14"/>
    <n v="0.1212"/>
    <x v="15"/>
    <n v="0.29849999999999999"/>
    <x v="3"/>
    <x v="71"/>
    <x v="1"/>
  </r>
  <r>
    <n v="300"/>
    <x v="12"/>
    <x v="0"/>
    <x v="0"/>
    <x v="0"/>
    <x v="22"/>
    <n v="0"/>
    <n v="4"/>
    <x v="1"/>
    <n v="1"/>
    <x v="14"/>
    <n v="0.1212"/>
    <x v="15"/>
    <n v="0.32840000000000003"/>
    <x v="3"/>
    <x v="10"/>
    <x v="33"/>
  </r>
  <r>
    <n v="301"/>
    <x v="12"/>
    <x v="0"/>
    <x v="0"/>
    <x v="0"/>
    <x v="23"/>
    <n v="0"/>
    <n v="4"/>
    <x v="1"/>
    <n v="1"/>
    <x v="16"/>
    <n v="0.13639999999999999"/>
    <x v="20"/>
    <n v="0.19400000000000001"/>
    <x v="5"/>
    <x v="88"/>
    <x v="93"/>
  </r>
  <r>
    <n v="302"/>
    <x v="13"/>
    <x v="0"/>
    <x v="0"/>
    <x v="0"/>
    <x v="0"/>
    <n v="0"/>
    <n v="5"/>
    <x v="1"/>
    <n v="1"/>
    <x v="16"/>
    <n v="0.13639999999999999"/>
    <x v="20"/>
    <n v="0.19400000000000001"/>
    <x v="3"/>
    <x v="88"/>
    <x v="8"/>
  </r>
  <r>
    <n v="303"/>
    <x v="13"/>
    <x v="0"/>
    <x v="0"/>
    <x v="0"/>
    <x v="1"/>
    <n v="0"/>
    <n v="5"/>
    <x v="1"/>
    <n v="1"/>
    <x v="18"/>
    <n v="0.1212"/>
    <x v="47"/>
    <n v="0.16420000000000001"/>
    <x v="3"/>
    <x v="34"/>
    <x v="36"/>
  </r>
  <r>
    <n v="304"/>
    <x v="13"/>
    <x v="0"/>
    <x v="0"/>
    <x v="0"/>
    <x v="2"/>
    <n v="0"/>
    <n v="5"/>
    <x v="1"/>
    <n v="1"/>
    <x v="18"/>
    <n v="0.1212"/>
    <x v="47"/>
    <n v="0.1343"/>
    <x v="3"/>
    <x v="4"/>
    <x v="4"/>
  </r>
  <r>
    <n v="305"/>
    <x v="13"/>
    <x v="0"/>
    <x v="0"/>
    <x v="0"/>
    <x v="3"/>
    <n v="0"/>
    <n v="5"/>
    <x v="1"/>
    <n v="1"/>
    <x v="18"/>
    <n v="0.13639999999999999"/>
    <x v="47"/>
    <n v="0.1045"/>
    <x v="3"/>
    <x v="4"/>
    <x v="4"/>
  </r>
  <r>
    <n v="306"/>
    <x v="13"/>
    <x v="0"/>
    <x v="0"/>
    <x v="0"/>
    <x v="5"/>
    <n v="0"/>
    <n v="5"/>
    <x v="1"/>
    <n v="1"/>
    <x v="18"/>
    <n v="0.13639999999999999"/>
    <x v="47"/>
    <n v="8.9599999999999999E-2"/>
    <x v="3"/>
    <x v="21"/>
    <x v="7"/>
  </r>
  <r>
    <n v="307"/>
    <x v="13"/>
    <x v="0"/>
    <x v="0"/>
    <x v="0"/>
    <x v="6"/>
    <n v="0"/>
    <n v="5"/>
    <x v="1"/>
    <n v="1"/>
    <x v="18"/>
    <n v="0.18179999999999999"/>
    <x v="47"/>
    <n v="0"/>
    <x v="3"/>
    <x v="19"/>
    <x v="22"/>
  </r>
  <r>
    <n v="308"/>
    <x v="13"/>
    <x v="0"/>
    <x v="0"/>
    <x v="0"/>
    <x v="7"/>
    <n v="0"/>
    <n v="5"/>
    <x v="1"/>
    <n v="1"/>
    <x v="18"/>
    <n v="0.1212"/>
    <x v="32"/>
    <n v="0.16420000000000001"/>
    <x v="3"/>
    <x v="14"/>
    <x v="27"/>
  </r>
  <r>
    <n v="309"/>
    <x v="13"/>
    <x v="0"/>
    <x v="0"/>
    <x v="0"/>
    <x v="8"/>
    <n v="0"/>
    <n v="5"/>
    <x v="1"/>
    <n v="1"/>
    <x v="16"/>
    <n v="0.16669999999999999"/>
    <x v="31"/>
    <n v="0"/>
    <x v="4"/>
    <x v="117"/>
    <x v="125"/>
  </r>
  <r>
    <n v="310"/>
    <x v="13"/>
    <x v="0"/>
    <x v="0"/>
    <x v="0"/>
    <x v="9"/>
    <n v="0"/>
    <n v="5"/>
    <x v="1"/>
    <n v="1"/>
    <x v="14"/>
    <n v="0.1515"/>
    <x v="27"/>
    <n v="0.1343"/>
    <x v="3"/>
    <x v="118"/>
    <x v="126"/>
  </r>
  <r>
    <n v="311"/>
    <x v="13"/>
    <x v="0"/>
    <x v="0"/>
    <x v="0"/>
    <x v="10"/>
    <n v="0"/>
    <n v="5"/>
    <x v="1"/>
    <n v="1"/>
    <x v="15"/>
    <n v="0.18179999999999999"/>
    <x v="28"/>
    <n v="0.19400000000000001"/>
    <x v="17"/>
    <x v="71"/>
    <x v="40"/>
  </r>
  <r>
    <n v="312"/>
    <x v="13"/>
    <x v="0"/>
    <x v="0"/>
    <x v="0"/>
    <x v="11"/>
    <n v="0"/>
    <n v="5"/>
    <x v="1"/>
    <n v="1"/>
    <x v="15"/>
    <n v="0.16669999999999999"/>
    <x v="33"/>
    <n v="0.28360000000000002"/>
    <x v="15"/>
    <x v="12"/>
    <x v="26"/>
  </r>
  <r>
    <n v="313"/>
    <x v="13"/>
    <x v="0"/>
    <x v="0"/>
    <x v="0"/>
    <x v="12"/>
    <n v="0"/>
    <n v="5"/>
    <x v="1"/>
    <n v="1"/>
    <x v="2"/>
    <n v="0.19700000000000001"/>
    <x v="18"/>
    <n v="0.25369999999999998"/>
    <x v="4"/>
    <x v="79"/>
    <x v="42"/>
  </r>
  <r>
    <n v="314"/>
    <x v="13"/>
    <x v="0"/>
    <x v="0"/>
    <x v="0"/>
    <x v="13"/>
    <n v="0"/>
    <n v="5"/>
    <x v="1"/>
    <n v="1"/>
    <x v="1"/>
    <n v="0.19700000000000001"/>
    <x v="38"/>
    <n v="0.3881"/>
    <x v="17"/>
    <x v="26"/>
    <x v="43"/>
  </r>
  <r>
    <n v="315"/>
    <x v="13"/>
    <x v="0"/>
    <x v="0"/>
    <x v="0"/>
    <x v="14"/>
    <n v="0"/>
    <n v="5"/>
    <x v="1"/>
    <n v="1"/>
    <x v="1"/>
    <n v="0.21210000000000001"/>
    <x v="48"/>
    <n v="0.28360000000000002"/>
    <x v="2"/>
    <x v="79"/>
    <x v="37"/>
  </r>
  <r>
    <n v="316"/>
    <x v="13"/>
    <x v="0"/>
    <x v="0"/>
    <x v="0"/>
    <x v="15"/>
    <n v="0"/>
    <n v="5"/>
    <x v="1"/>
    <n v="1"/>
    <x v="0"/>
    <n v="0.2424"/>
    <x v="41"/>
    <n v="0.16420000000000001"/>
    <x v="14"/>
    <x v="79"/>
    <x v="118"/>
  </r>
  <r>
    <n v="317"/>
    <x v="13"/>
    <x v="0"/>
    <x v="0"/>
    <x v="0"/>
    <x v="16"/>
    <n v="0"/>
    <n v="5"/>
    <x v="1"/>
    <n v="1"/>
    <x v="1"/>
    <n v="0.2424"/>
    <x v="48"/>
    <n v="0.1045"/>
    <x v="0"/>
    <x v="61"/>
    <x v="127"/>
  </r>
  <r>
    <n v="318"/>
    <x v="13"/>
    <x v="0"/>
    <x v="0"/>
    <x v="0"/>
    <x v="17"/>
    <n v="0"/>
    <n v="5"/>
    <x v="1"/>
    <n v="1"/>
    <x v="1"/>
    <n v="0.2273"/>
    <x v="48"/>
    <n v="0.16420000000000001"/>
    <x v="17"/>
    <x v="119"/>
    <x v="128"/>
  </r>
  <r>
    <n v="319"/>
    <x v="13"/>
    <x v="0"/>
    <x v="0"/>
    <x v="0"/>
    <x v="18"/>
    <n v="0"/>
    <n v="5"/>
    <x v="1"/>
    <n v="1"/>
    <x v="2"/>
    <n v="0.2576"/>
    <x v="19"/>
    <n v="0"/>
    <x v="2"/>
    <x v="120"/>
    <x v="119"/>
  </r>
  <r>
    <n v="320"/>
    <x v="13"/>
    <x v="0"/>
    <x v="0"/>
    <x v="0"/>
    <x v="19"/>
    <n v="0"/>
    <n v="5"/>
    <x v="1"/>
    <n v="1"/>
    <x v="13"/>
    <n v="0.19700000000000001"/>
    <x v="29"/>
    <n v="8.9599999999999999E-2"/>
    <x v="0"/>
    <x v="121"/>
    <x v="101"/>
  </r>
  <r>
    <n v="321"/>
    <x v="13"/>
    <x v="0"/>
    <x v="0"/>
    <x v="0"/>
    <x v="20"/>
    <n v="0"/>
    <n v="5"/>
    <x v="1"/>
    <n v="1"/>
    <x v="15"/>
    <n v="0.2424"/>
    <x v="29"/>
    <n v="0"/>
    <x v="3"/>
    <x v="56"/>
    <x v="118"/>
  </r>
  <r>
    <n v="322"/>
    <x v="13"/>
    <x v="0"/>
    <x v="0"/>
    <x v="0"/>
    <x v="21"/>
    <n v="0"/>
    <n v="5"/>
    <x v="1"/>
    <n v="1"/>
    <x v="13"/>
    <n v="0.2273"/>
    <x v="27"/>
    <n v="0"/>
    <x v="17"/>
    <x v="41"/>
    <x v="46"/>
  </r>
  <r>
    <n v="323"/>
    <x v="13"/>
    <x v="0"/>
    <x v="0"/>
    <x v="0"/>
    <x v="22"/>
    <n v="0"/>
    <n v="5"/>
    <x v="1"/>
    <n v="2"/>
    <x v="13"/>
    <n v="0.2273"/>
    <x v="27"/>
    <n v="0"/>
    <x v="4"/>
    <x v="60"/>
    <x v="9"/>
  </r>
  <r>
    <n v="324"/>
    <x v="13"/>
    <x v="0"/>
    <x v="0"/>
    <x v="0"/>
    <x v="23"/>
    <n v="0"/>
    <n v="5"/>
    <x v="1"/>
    <n v="2"/>
    <x v="15"/>
    <n v="0.2424"/>
    <x v="28"/>
    <n v="0"/>
    <x v="5"/>
    <x v="16"/>
    <x v="110"/>
  </r>
  <r>
    <n v="325"/>
    <x v="14"/>
    <x v="0"/>
    <x v="0"/>
    <x v="0"/>
    <x v="0"/>
    <n v="0"/>
    <n v="6"/>
    <x v="0"/>
    <n v="1"/>
    <x v="15"/>
    <n v="0.2424"/>
    <x v="28"/>
    <n v="0"/>
    <x v="0"/>
    <x v="18"/>
    <x v="20"/>
  </r>
  <r>
    <n v="326"/>
    <x v="14"/>
    <x v="0"/>
    <x v="0"/>
    <x v="0"/>
    <x v="1"/>
    <n v="0"/>
    <n v="6"/>
    <x v="0"/>
    <n v="2"/>
    <x v="13"/>
    <n v="0.19700000000000001"/>
    <x v="29"/>
    <n v="8.9599999999999999E-2"/>
    <x v="4"/>
    <x v="72"/>
    <x v="25"/>
  </r>
  <r>
    <n v="327"/>
    <x v="14"/>
    <x v="0"/>
    <x v="0"/>
    <x v="0"/>
    <x v="2"/>
    <n v="0"/>
    <n v="6"/>
    <x v="0"/>
    <n v="2"/>
    <x v="13"/>
    <n v="0.19700000000000001"/>
    <x v="29"/>
    <n v="8.9599999999999999E-2"/>
    <x v="3"/>
    <x v="98"/>
    <x v="47"/>
  </r>
  <r>
    <n v="328"/>
    <x v="14"/>
    <x v="0"/>
    <x v="0"/>
    <x v="0"/>
    <x v="3"/>
    <n v="0"/>
    <n v="6"/>
    <x v="0"/>
    <n v="2"/>
    <x v="13"/>
    <n v="0.2273"/>
    <x v="29"/>
    <n v="0"/>
    <x v="5"/>
    <x v="7"/>
    <x v="7"/>
  </r>
  <r>
    <n v="329"/>
    <x v="14"/>
    <x v="0"/>
    <x v="0"/>
    <x v="0"/>
    <x v="4"/>
    <n v="0"/>
    <n v="6"/>
    <x v="0"/>
    <n v="2"/>
    <x v="13"/>
    <n v="0.2273"/>
    <x v="29"/>
    <n v="0"/>
    <x v="3"/>
    <x v="34"/>
    <x v="36"/>
  </r>
  <r>
    <n v="330"/>
    <x v="14"/>
    <x v="0"/>
    <x v="0"/>
    <x v="0"/>
    <x v="5"/>
    <n v="0"/>
    <n v="6"/>
    <x v="0"/>
    <n v="1"/>
    <x v="13"/>
    <n v="0.2273"/>
    <x v="29"/>
    <n v="0"/>
    <x v="3"/>
    <x v="4"/>
    <x v="4"/>
  </r>
  <r>
    <n v="331"/>
    <x v="14"/>
    <x v="0"/>
    <x v="0"/>
    <x v="0"/>
    <x v="6"/>
    <n v="0"/>
    <n v="6"/>
    <x v="0"/>
    <n v="1"/>
    <x v="14"/>
    <n v="0.16669999999999999"/>
    <x v="30"/>
    <n v="0.1045"/>
    <x v="5"/>
    <x v="6"/>
    <x v="6"/>
  </r>
  <r>
    <n v="332"/>
    <x v="14"/>
    <x v="0"/>
    <x v="0"/>
    <x v="0"/>
    <x v="7"/>
    <n v="0"/>
    <n v="6"/>
    <x v="0"/>
    <n v="1"/>
    <x v="14"/>
    <n v="0.21210000000000001"/>
    <x v="30"/>
    <n v="0"/>
    <x v="5"/>
    <x v="33"/>
    <x v="98"/>
  </r>
  <r>
    <n v="333"/>
    <x v="14"/>
    <x v="0"/>
    <x v="0"/>
    <x v="0"/>
    <x v="8"/>
    <n v="0"/>
    <n v="6"/>
    <x v="0"/>
    <n v="1"/>
    <x v="14"/>
    <n v="0.1515"/>
    <x v="30"/>
    <n v="0.1343"/>
    <x v="5"/>
    <x v="97"/>
    <x v="84"/>
  </r>
  <r>
    <n v="334"/>
    <x v="14"/>
    <x v="0"/>
    <x v="0"/>
    <x v="0"/>
    <x v="9"/>
    <n v="0"/>
    <n v="6"/>
    <x v="0"/>
    <n v="1"/>
    <x v="13"/>
    <n v="0.18179999999999999"/>
    <x v="26"/>
    <n v="0.1343"/>
    <x v="4"/>
    <x v="17"/>
    <x v="63"/>
  </r>
  <r>
    <n v="335"/>
    <x v="14"/>
    <x v="0"/>
    <x v="0"/>
    <x v="0"/>
    <x v="10"/>
    <n v="0"/>
    <n v="6"/>
    <x v="0"/>
    <n v="1"/>
    <x v="15"/>
    <n v="0.19700000000000001"/>
    <x v="29"/>
    <n v="0.16420000000000001"/>
    <x v="4"/>
    <x v="77"/>
    <x v="29"/>
  </r>
  <r>
    <n v="336"/>
    <x v="14"/>
    <x v="0"/>
    <x v="0"/>
    <x v="0"/>
    <x v="11"/>
    <n v="0"/>
    <n v="6"/>
    <x v="0"/>
    <n v="1"/>
    <x v="2"/>
    <n v="0.19700000000000001"/>
    <x v="28"/>
    <n v="0.22389999999999999"/>
    <x v="25"/>
    <x v="25"/>
    <x v="44"/>
  </r>
  <r>
    <n v="337"/>
    <x v="14"/>
    <x v="0"/>
    <x v="0"/>
    <x v="0"/>
    <x v="12"/>
    <n v="0"/>
    <n v="6"/>
    <x v="0"/>
    <n v="1"/>
    <x v="0"/>
    <n v="0.2273"/>
    <x v="37"/>
    <n v="0.22389999999999999"/>
    <x v="13"/>
    <x v="64"/>
    <x v="70"/>
  </r>
  <r>
    <n v="338"/>
    <x v="14"/>
    <x v="0"/>
    <x v="0"/>
    <x v="0"/>
    <x v="13"/>
    <n v="0"/>
    <n v="6"/>
    <x v="0"/>
    <n v="1"/>
    <x v="17"/>
    <n v="0.2576"/>
    <x v="41"/>
    <n v="0.29849999999999999"/>
    <x v="27"/>
    <x v="122"/>
    <x v="129"/>
  </r>
  <r>
    <n v="339"/>
    <x v="14"/>
    <x v="0"/>
    <x v="0"/>
    <x v="0"/>
    <x v="14"/>
    <n v="0"/>
    <n v="6"/>
    <x v="0"/>
    <n v="1"/>
    <x v="11"/>
    <n v="0.28789999999999999"/>
    <x v="17"/>
    <n v="0.28360000000000002"/>
    <x v="7"/>
    <x v="50"/>
    <x v="130"/>
  </r>
  <r>
    <n v="340"/>
    <x v="14"/>
    <x v="0"/>
    <x v="0"/>
    <x v="0"/>
    <x v="15"/>
    <n v="0"/>
    <n v="6"/>
    <x v="0"/>
    <n v="2"/>
    <x v="3"/>
    <n v="0.31819999999999998"/>
    <x v="42"/>
    <n v="0.19400000000000001"/>
    <x v="27"/>
    <x v="123"/>
    <x v="131"/>
  </r>
  <r>
    <n v="341"/>
    <x v="14"/>
    <x v="0"/>
    <x v="0"/>
    <x v="0"/>
    <x v="16"/>
    <n v="0"/>
    <n v="6"/>
    <x v="0"/>
    <n v="2"/>
    <x v="10"/>
    <n v="0.33329999999999999"/>
    <x v="46"/>
    <n v="0.19400000000000001"/>
    <x v="28"/>
    <x v="73"/>
    <x v="116"/>
  </r>
  <r>
    <n v="342"/>
    <x v="14"/>
    <x v="0"/>
    <x v="0"/>
    <x v="0"/>
    <x v="17"/>
    <n v="0"/>
    <n v="6"/>
    <x v="0"/>
    <n v="2"/>
    <x v="3"/>
    <n v="0.30299999999999999"/>
    <x v="42"/>
    <n v="0.28360000000000002"/>
    <x v="8"/>
    <x v="25"/>
    <x v="56"/>
  </r>
  <r>
    <n v="343"/>
    <x v="14"/>
    <x v="0"/>
    <x v="0"/>
    <x v="0"/>
    <x v="18"/>
    <n v="0"/>
    <n v="6"/>
    <x v="0"/>
    <n v="2"/>
    <x v="11"/>
    <n v="0.28789999999999999"/>
    <x v="49"/>
    <n v="0.25369999999999998"/>
    <x v="13"/>
    <x v="94"/>
    <x v="11"/>
  </r>
  <r>
    <n v="344"/>
    <x v="14"/>
    <x v="0"/>
    <x v="0"/>
    <x v="0"/>
    <x v="19"/>
    <n v="0"/>
    <n v="6"/>
    <x v="0"/>
    <n v="2"/>
    <x v="3"/>
    <n v="0.30299999999999999"/>
    <x v="17"/>
    <n v="0.25369999999999998"/>
    <x v="24"/>
    <x v="91"/>
    <x v="30"/>
  </r>
  <r>
    <n v="345"/>
    <x v="14"/>
    <x v="0"/>
    <x v="0"/>
    <x v="0"/>
    <x v="20"/>
    <n v="0"/>
    <n v="6"/>
    <x v="0"/>
    <n v="2"/>
    <x v="3"/>
    <n v="0.30299999999999999"/>
    <x v="17"/>
    <n v="0.25369999999999998"/>
    <x v="15"/>
    <x v="96"/>
    <x v="102"/>
  </r>
  <r>
    <n v="346"/>
    <x v="14"/>
    <x v="0"/>
    <x v="0"/>
    <x v="0"/>
    <x v="21"/>
    <n v="0"/>
    <n v="6"/>
    <x v="0"/>
    <n v="2"/>
    <x v="3"/>
    <n v="0.30299999999999999"/>
    <x v="17"/>
    <n v="0.22389999999999999"/>
    <x v="15"/>
    <x v="82"/>
    <x v="52"/>
  </r>
  <r>
    <n v="347"/>
    <x v="14"/>
    <x v="0"/>
    <x v="0"/>
    <x v="0"/>
    <x v="22"/>
    <n v="0"/>
    <n v="6"/>
    <x v="0"/>
    <n v="2"/>
    <x v="11"/>
    <n v="0.31819999999999998"/>
    <x v="16"/>
    <n v="0.1045"/>
    <x v="3"/>
    <x v="16"/>
    <x v="132"/>
  </r>
  <r>
    <n v="348"/>
    <x v="14"/>
    <x v="0"/>
    <x v="0"/>
    <x v="0"/>
    <x v="23"/>
    <n v="0"/>
    <n v="6"/>
    <x v="0"/>
    <n v="1"/>
    <x v="11"/>
    <n v="0.28789999999999999"/>
    <x v="49"/>
    <n v="0.28360000000000002"/>
    <x v="2"/>
    <x v="87"/>
    <x v="40"/>
  </r>
  <r>
    <n v="349"/>
    <x v="15"/>
    <x v="0"/>
    <x v="0"/>
    <x v="0"/>
    <x v="0"/>
    <n v="0"/>
    <n v="0"/>
    <x v="0"/>
    <n v="1"/>
    <x v="12"/>
    <n v="0.30299999999999999"/>
    <x v="34"/>
    <n v="0"/>
    <x v="15"/>
    <x v="39"/>
    <x v="21"/>
  </r>
  <r>
    <n v="350"/>
    <x v="15"/>
    <x v="0"/>
    <x v="0"/>
    <x v="0"/>
    <x v="1"/>
    <n v="0"/>
    <n v="0"/>
    <x v="0"/>
    <n v="1"/>
    <x v="12"/>
    <n v="0.2727"/>
    <x v="34"/>
    <n v="0.1343"/>
    <x v="17"/>
    <x v="23"/>
    <x v="84"/>
  </r>
  <r>
    <n v="351"/>
    <x v="15"/>
    <x v="0"/>
    <x v="0"/>
    <x v="0"/>
    <x v="2"/>
    <n v="0"/>
    <n v="0"/>
    <x v="0"/>
    <n v="1"/>
    <x v="12"/>
    <n v="0.28789999999999999"/>
    <x v="34"/>
    <n v="8.9599999999999999E-2"/>
    <x v="0"/>
    <x v="0"/>
    <x v="0"/>
  </r>
  <r>
    <n v="352"/>
    <x v="15"/>
    <x v="0"/>
    <x v="0"/>
    <x v="0"/>
    <x v="3"/>
    <n v="0"/>
    <n v="0"/>
    <x v="0"/>
    <n v="1"/>
    <x v="1"/>
    <n v="0.2727"/>
    <x v="27"/>
    <n v="0"/>
    <x v="14"/>
    <x v="8"/>
    <x v="93"/>
  </r>
  <r>
    <n v="353"/>
    <x v="15"/>
    <x v="0"/>
    <x v="0"/>
    <x v="0"/>
    <x v="4"/>
    <n v="0"/>
    <n v="0"/>
    <x v="0"/>
    <n v="1"/>
    <x v="12"/>
    <n v="0.2576"/>
    <x v="34"/>
    <n v="0.16420000000000001"/>
    <x v="3"/>
    <x v="4"/>
    <x v="4"/>
  </r>
  <r>
    <n v="354"/>
    <x v="15"/>
    <x v="0"/>
    <x v="0"/>
    <x v="0"/>
    <x v="5"/>
    <n v="0"/>
    <n v="0"/>
    <x v="0"/>
    <n v="2"/>
    <x v="12"/>
    <n v="0.2576"/>
    <x v="34"/>
    <n v="0.16420000000000001"/>
    <x v="5"/>
    <x v="4"/>
    <x v="5"/>
  </r>
  <r>
    <n v="355"/>
    <x v="15"/>
    <x v="0"/>
    <x v="0"/>
    <x v="0"/>
    <x v="6"/>
    <n v="0"/>
    <n v="0"/>
    <x v="0"/>
    <n v="2"/>
    <x v="12"/>
    <n v="0.2576"/>
    <x v="34"/>
    <n v="0.16420000000000001"/>
    <x v="3"/>
    <x v="4"/>
    <x v="4"/>
  </r>
  <r>
    <n v="356"/>
    <x v="15"/>
    <x v="0"/>
    <x v="0"/>
    <x v="0"/>
    <x v="7"/>
    <n v="0"/>
    <n v="0"/>
    <x v="0"/>
    <n v="2"/>
    <x v="0"/>
    <n v="0.21210000000000001"/>
    <x v="34"/>
    <n v="0.29849999999999999"/>
    <x v="3"/>
    <x v="35"/>
    <x v="6"/>
  </r>
  <r>
    <n v="357"/>
    <x v="15"/>
    <x v="0"/>
    <x v="0"/>
    <x v="0"/>
    <x v="8"/>
    <n v="0"/>
    <n v="0"/>
    <x v="0"/>
    <n v="1"/>
    <x v="1"/>
    <n v="0.21210000000000001"/>
    <x v="28"/>
    <n v="0.28360000000000002"/>
    <x v="3"/>
    <x v="72"/>
    <x v="109"/>
  </r>
  <r>
    <n v="358"/>
    <x v="15"/>
    <x v="0"/>
    <x v="0"/>
    <x v="0"/>
    <x v="9"/>
    <n v="0"/>
    <n v="0"/>
    <x v="0"/>
    <n v="1"/>
    <x v="1"/>
    <n v="0.21210000000000001"/>
    <x v="33"/>
    <n v="0.25369999999999998"/>
    <x v="0"/>
    <x v="31"/>
    <x v="2"/>
  </r>
  <r>
    <n v="359"/>
    <x v="15"/>
    <x v="0"/>
    <x v="0"/>
    <x v="0"/>
    <x v="10"/>
    <n v="0"/>
    <n v="0"/>
    <x v="0"/>
    <n v="1"/>
    <x v="1"/>
    <n v="0.21210000000000001"/>
    <x v="33"/>
    <n v="0.28360000000000002"/>
    <x v="1"/>
    <x v="13"/>
    <x v="67"/>
  </r>
  <r>
    <n v="360"/>
    <x v="15"/>
    <x v="0"/>
    <x v="0"/>
    <x v="0"/>
    <x v="11"/>
    <n v="0"/>
    <n v="0"/>
    <x v="0"/>
    <n v="1"/>
    <x v="0"/>
    <n v="0.2273"/>
    <x v="18"/>
    <n v="0.25369999999999998"/>
    <x v="29"/>
    <x v="14"/>
    <x v="15"/>
  </r>
  <r>
    <n v="361"/>
    <x v="15"/>
    <x v="0"/>
    <x v="0"/>
    <x v="0"/>
    <x v="12"/>
    <n v="0"/>
    <n v="0"/>
    <x v="0"/>
    <n v="1"/>
    <x v="0"/>
    <n v="0.21210000000000001"/>
    <x v="48"/>
    <n v="0.28360000000000002"/>
    <x v="8"/>
    <x v="102"/>
    <x v="133"/>
  </r>
  <r>
    <n v="362"/>
    <x v="15"/>
    <x v="0"/>
    <x v="0"/>
    <x v="0"/>
    <x v="13"/>
    <n v="0"/>
    <n v="0"/>
    <x v="0"/>
    <n v="1"/>
    <x v="12"/>
    <n v="0.2273"/>
    <x v="23"/>
    <n v="0.29849999999999999"/>
    <x v="29"/>
    <x v="73"/>
    <x v="130"/>
  </r>
  <r>
    <n v="363"/>
    <x v="15"/>
    <x v="0"/>
    <x v="0"/>
    <x v="0"/>
    <x v="14"/>
    <n v="0"/>
    <n v="0"/>
    <x v="0"/>
    <n v="1"/>
    <x v="17"/>
    <n v="0.2727"/>
    <x v="42"/>
    <n v="0.25369999999999998"/>
    <x v="30"/>
    <x v="94"/>
    <x v="134"/>
  </r>
  <r>
    <n v="364"/>
    <x v="15"/>
    <x v="0"/>
    <x v="0"/>
    <x v="0"/>
    <x v="15"/>
    <n v="0"/>
    <n v="0"/>
    <x v="0"/>
    <n v="1"/>
    <x v="12"/>
    <n v="0.2424"/>
    <x v="41"/>
    <n v="0.25369999999999998"/>
    <x v="10"/>
    <x v="78"/>
    <x v="135"/>
  </r>
  <r>
    <n v="365"/>
    <x v="15"/>
    <x v="0"/>
    <x v="0"/>
    <x v="0"/>
    <x v="16"/>
    <n v="0"/>
    <n v="0"/>
    <x v="0"/>
    <n v="1"/>
    <x v="0"/>
    <n v="0.2273"/>
    <x v="41"/>
    <n v="0.22389999999999999"/>
    <x v="30"/>
    <x v="99"/>
    <x v="111"/>
  </r>
  <r>
    <n v="366"/>
    <x v="15"/>
    <x v="0"/>
    <x v="0"/>
    <x v="0"/>
    <x v="17"/>
    <n v="0"/>
    <n v="0"/>
    <x v="0"/>
    <n v="1"/>
    <x v="1"/>
    <n v="0.21210000000000001"/>
    <x v="38"/>
    <n v="0.25369999999999998"/>
    <x v="29"/>
    <x v="70"/>
    <x v="136"/>
  </r>
  <r>
    <n v="367"/>
    <x v="15"/>
    <x v="0"/>
    <x v="0"/>
    <x v="0"/>
    <x v="18"/>
    <n v="0"/>
    <n v="0"/>
    <x v="0"/>
    <n v="1"/>
    <x v="2"/>
    <n v="0.21210000000000001"/>
    <x v="22"/>
    <n v="0.16420000000000001"/>
    <x v="16"/>
    <x v="90"/>
    <x v="16"/>
  </r>
  <r>
    <n v="368"/>
    <x v="15"/>
    <x v="0"/>
    <x v="0"/>
    <x v="0"/>
    <x v="19"/>
    <n v="0"/>
    <n v="0"/>
    <x v="0"/>
    <n v="1"/>
    <x v="15"/>
    <n v="0.19700000000000001"/>
    <x v="19"/>
    <n v="0.1343"/>
    <x v="24"/>
    <x v="12"/>
    <x v="42"/>
  </r>
  <r>
    <n v="369"/>
    <x v="15"/>
    <x v="0"/>
    <x v="0"/>
    <x v="0"/>
    <x v="20"/>
    <n v="0"/>
    <n v="0"/>
    <x v="0"/>
    <n v="1"/>
    <x v="15"/>
    <n v="0.19700000000000001"/>
    <x v="19"/>
    <n v="0.16420000000000001"/>
    <x v="18"/>
    <x v="54"/>
    <x v="52"/>
  </r>
  <r>
    <n v="370"/>
    <x v="15"/>
    <x v="0"/>
    <x v="0"/>
    <x v="0"/>
    <x v="21"/>
    <n v="0"/>
    <n v="0"/>
    <x v="0"/>
    <n v="1"/>
    <x v="15"/>
    <n v="0.19700000000000001"/>
    <x v="33"/>
    <n v="0.16420000000000001"/>
    <x v="15"/>
    <x v="97"/>
    <x v="20"/>
  </r>
  <r>
    <n v="371"/>
    <x v="15"/>
    <x v="0"/>
    <x v="0"/>
    <x v="0"/>
    <x v="22"/>
    <n v="0"/>
    <n v="0"/>
    <x v="0"/>
    <n v="2"/>
    <x v="2"/>
    <n v="0.21210000000000001"/>
    <x v="36"/>
    <n v="0.1343"/>
    <x v="4"/>
    <x v="23"/>
    <x v="137"/>
  </r>
  <r>
    <n v="372"/>
    <x v="15"/>
    <x v="0"/>
    <x v="0"/>
    <x v="0"/>
    <x v="23"/>
    <n v="0"/>
    <n v="0"/>
    <x v="0"/>
    <n v="2"/>
    <x v="2"/>
    <n v="0.2273"/>
    <x v="22"/>
    <n v="0.1045"/>
    <x v="3"/>
    <x v="72"/>
    <x v="109"/>
  </r>
  <r>
    <n v="373"/>
    <x v="16"/>
    <x v="0"/>
    <x v="0"/>
    <x v="0"/>
    <x v="0"/>
    <n v="1"/>
    <n v="1"/>
    <x v="0"/>
    <n v="2"/>
    <x v="2"/>
    <n v="0.19700000000000001"/>
    <x v="19"/>
    <n v="0.22389999999999999"/>
    <x v="5"/>
    <x v="20"/>
    <x v="22"/>
  </r>
  <r>
    <n v="374"/>
    <x v="16"/>
    <x v="0"/>
    <x v="0"/>
    <x v="0"/>
    <x v="1"/>
    <n v="1"/>
    <n v="1"/>
    <x v="0"/>
    <n v="2"/>
    <x v="2"/>
    <n v="0.19700000000000001"/>
    <x v="18"/>
    <n v="0.19400000000000001"/>
    <x v="5"/>
    <x v="89"/>
    <x v="0"/>
  </r>
  <r>
    <n v="375"/>
    <x v="16"/>
    <x v="0"/>
    <x v="0"/>
    <x v="0"/>
    <x v="2"/>
    <n v="1"/>
    <n v="1"/>
    <x v="0"/>
    <n v="2"/>
    <x v="15"/>
    <n v="0.16669999999999999"/>
    <x v="21"/>
    <n v="0.25369999999999998"/>
    <x v="3"/>
    <x v="21"/>
    <x v="7"/>
  </r>
  <r>
    <n v="376"/>
    <x v="16"/>
    <x v="0"/>
    <x v="0"/>
    <x v="0"/>
    <x v="3"/>
    <n v="1"/>
    <n v="1"/>
    <x v="0"/>
    <n v="2"/>
    <x v="15"/>
    <n v="0.18179999999999999"/>
    <x v="21"/>
    <n v="0.19400000000000001"/>
    <x v="3"/>
    <x v="6"/>
    <x v="5"/>
  </r>
  <r>
    <n v="377"/>
    <x v="16"/>
    <x v="0"/>
    <x v="0"/>
    <x v="0"/>
    <x v="4"/>
    <n v="1"/>
    <n v="1"/>
    <x v="0"/>
    <n v="2"/>
    <x v="15"/>
    <n v="0.19700000000000001"/>
    <x v="21"/>
    <n v="0.1343"/>
    <x v="5"/>
    <x v="6"/>
    <x v="6"/>
  </r>
  <r>
    <n v="378"/>
    <x v="16"/>
    <x v="0"/>
    <x v="0"/>
    <x v="0"/>
    <x v="5"/>
    <n v="1"/>
    <n v="1"/>
    <x v="0"/>
    <n v="2"/>
    <x v="15"/>
    <n v="0.19700000000000001"/>
    <x v="21"/>
    <n v="0.16420000000000001"/>
    <x v="3"/>
    <x v="4"/>
    <x v="4"/>
  </r>
  <r>
    <n v="379"/>
    <x v="16"/>
    <x v="0"/>
    <x v="0"/>
    <x v="0"/>
    <x v="6"/>
    <n v="1"/>
    <n v="1"/>
    <x v="0"/>
    <n v="2"/>
    <x v="15"/>
    <n v="0.18179999999999999"/>
    <x v="21"/>
    <n v="0.19400000000000001"/>
    <x v="3"/>
    <x v="34"/>
    <x v="36"/>
  </r>
  <r>
    <n v="380"/>
    <x v="16"/>
    <x v="0"/>
    <x v="0"/>
    <x v="0"/>
    <x v="7"/>
    <n v="1"/>
    <n v="1"/>
    <x v="0"/>
    <n v="2"/>
    <x v="13"/>
    <n v="0.18179999999999999"/>
    <x v="20"/>
    <n v="0.1343"/>
    <x v="17"/>
    <x v="33"/>
    <x v="3"/>
  </r>
  <r>
    <n v="381"/>
    <x v="16"/>
    <x v="0"/>
    <x v="0"/>
    <x v="0"/>
    <x v="8"/>
    <n v="1"/>
    <n v="1"/>
    <x v="0"/>
    <n v="2"/>
    <x v="13"/>
    <n v="0.1515"/>
    <x v="19"/>
    <n v="0.22389999999999999"/>
    <x v="0"/>
    <x v="10"/>
    <x v="63"/>
  </r>
  <r>
    <n v="382"/>
    <x v="16"/>
    <x v="0"/>
    <x v="0"/>
    <x v="0"/>
    <x v="9"/>
    <n v="1"/>
    <n v="1"/>
    <x v="0"/>
    <n v="2"/>
    <x v="13"/>
    <n v="0.1515"/>
    <x v="19"/>
    <n v="0.22389999999999999"/>
    <x v="1"/>
    <x v="87"/>
    <x v="105"/>
  </r>
  <r>
    <n v="383"/>
    <x v="16"/>
    <x v="0"/>
    <x v="0"/>
    <x v="0"/>
    <x v="10"/>
    <n v="1"/>
    <n v="1"/>
    <x v="0"/>
    <n v="2"/>
    <x v="13"/>
    <n v="0.1515"/>
    <x v="20"/>
    <n v="0.25369999999999998"/>
    <x v="18"/>
    <x v="54"/>
    <x v="52"/>
  </r>
  <r>
    <n v="384"/>
    <x v="16"/>
    <x v="0"/>
    <x v="0"/>
    <x v="0"/>
    <x v="11"/>
    <n v="1"/>
    <n v="1"/>
    <x v="0"/>
    <n v="2"/>
    <x v="13"/>
    <n v="0.1515"/>
    <x v="28"/>
    <n v="0.19400000000000001"/>
    <x v="14"/>
    <x v="11"/>
    <x v="37"/>
  </r>
  <r>
    <n v="385"/>
    <x v="16"/>
    <x v="0"/>
    <x v="0"/>
    <x v="0"/>
    <x v="12"/>
    <n v="1"/>
    <n v="1"/>
    <x v="0"/>
    <n v="2"/>
    <x v="15"/>
    <n v="0.19700000000000001"/>
    <x v="19"/>
    <n v="0.1343"/>
    <x v="22"/>
    <x v="14"/>
    <x v="138"/>
  </r>
  <r>
    <n v="386"/>
    <x v="16"/>
    <x v="0"/>
    <x v="0"/>
    <x v="0"/>
    <x v="13"/>
    <n v="1"/>
    <n v="1"/>
    <x v="0"/>
    <n v="2"/>
    <x v="15"/>
    <n v="0.19700000000000001"/>
    <x v="19"/>
    <n v="0.1343"/>
    <x v="23"/>
    <x v="122"/>
    <x v="15"/>
  </r>
  <r>
    <n v="387"/>
    <x v="16"/>
    <x v="0"/>
    <x v="0"/>
    <x v="0"/>
    <x v="14"/>
    <n v="1"/>
    <n v="1"/>
    <x v="0"/>
    <n v="2"/>
    <x v="15"/>
    <n v="0.21210000000000001"/>
    <x v="21"/>
    <n v="0.1045"/>
    <x v="6"/>
    <x v="64"/>
    <x v="80"/>
  </r>
  <r>
    <n v="388"/>
    <x v="16"/>
    <x v="0"/>
    <x v="0"/>
    <x v="0"/>
    <x v="15"/>
    <n v="1"/>
    <n v="1"/>
    <x v="0"/>
    <n v="2"/>
    <x v="2"/>
    <n v="0.21210000000000001"/>
    <x v="19"/>
    <n v="0.16420000000000001"/>
    <x v="27"/>
    <x v="109"/>
    <x v="15"/>
  </r>
  <r>
    <n v="389"/>
    <x v="16"/>
    <x v="0"/>
    <x v="0"/>
    <x v="0"/>
    <x v="16"/>
    <n v="1"/>
    <n v="1"/>
    <x v="0"/>
    <n v="2"/>
    <x v="2"/>
    <n v="0.21210000000000001"/>
    <x v="19"/>
    <n v="0.16420000000000001"/>
    <x v="15"/>
    <x v="83"/>
    <x v="100"/>
  </r>
  <r>
    <n v="390"/>
    <x v="16"/>
    <x v="0"/>
    <x v="0"/>
    <x v="0"/>
    <x v="17"/>
    <n v="1"/>
    <n v="1"/>
    <x v="0"/>
    <n v="1"/>
    <x v="2"/>
    <n v="0.19700000000000001"/>
    <x v="33"/>
    <n v="0.19400000000000001"/>
    <x v="17"/>
    <x v="28"/>
    <x v="68"/>
  </r>
  <r>
    <n v="391"/>
    <x v="16"/>
    <x v="0"/>
    <x v="0"/>
    <x v="0"/>
    <x v="18"/>
    <n v="1"/>
    <n v="1"/>
    <x v="0"/>
    <n v="2"/>
    <x v="15"/>
    <n v="0.16669999999999999"/>
    <x v="28"/>
    <n v="0.25369999999999998"/>
    <x v="18"/>
    <x v="66"/>
    <x v="101"/>
  </r>
  <r>
    <n v="392"/>
    <x v="16"/>
    <x v="0"/>
    <x v="0"/>
    <x v="0"/>
    <x v="19"/>
    <n v="1"/>
    <n v="1"/>
    <x v="0"/>
    <n v="3"/>
    <x v="15"/>
    <n v="0.18179999999999999"/>
    <x v="29"/>
    <n v="0.19400000000000001"/>
    <x v="4"/>
    <x v="29"/>
    <x v="122"/>
  </r>
  <r>
    <n v="393"/>
    <x v="16"/>
    <x v="0"/>
    <x v="0"/>
    <x v="0"/>
    <x v="20"/>
    <n v="1"/>
    <n v="1"/>
    <x v="0"/>
    <n v="3"/>
    <x v="13"/>
    <n v="0.1515"/>
    <x v="1"/>
    <n v="0.19400000000000001"/>
    <x v="17"/>
    <x v="31"/>
    <x v="63"/>
  </r>
  <r>
    <n v="394"/>
    <x v="16"/>
    <x v="0"/>
    <x v="0"/>
    <x v="0"/>
    <x v="21"/>
    <n v="1"/>
    <n v="1"/>
    <x v="0"/>
    <n v="3"/>
    <x v="13"/>
    <n v="0.1515"/>
    <x v="1"/>
    <n v="0.19400000000000001"/>
    <x v="0"/>
    <x v="9"/>
    <x v="110"/>
  </r>
  <r>
    <n v="395"/>
    <x v="16"/>
    <x v="0"/>
    <x v="0"/>
    <x v="0"/>
    <x v="22"/>
    <n v="1"/>
    <n v="1"/>
    <x v="0"/>
    <n v="3"/>
    <x v="14"/>
    <n v="0.1212"/>
    <x v="43"/>
    <n v="0.25369999999999998"/>
    <x v="3"/>
    <x v="0"/>
    <x v="3"/>
  </r>
  <r>
    <n v="396"/>
    <x v="16"/>
    <x v="0"/>
    <x v="0"/>
    <x v="0"/>
    <x v="23"/>
    <n v="1"/>
    <n v="1"/>
    <x v="0"/>
    <n v="3"/>
    <x v="13"/>
    <n v="0.13639999999999999"/>
    <x v="3"/>
    <n v="0.28360000000000002"/>
    <x v="5"/>
    <x v="35"/>
    <x v="48"/>
  </r>
  <r>
    <n v="397"/>
    <x v="17"/>
    <x v="0"/>
    <x v="0"/>
    <x v="0"/>
    <x v="12"/>
    <n v="0"/>
    <n v="2"/>
    <x v="1"/>
    <n v="2"/>
    <x v="2"/>
    <n v="0.18179999999999999"/>
    <x v="3"/>
    <n v="0.32840000000000003"/>
    <x v="3"/>
    <x v="35"/>
    <x v="6"/>
  </r>
  <r>
    <n v="398"/>
    <x v="17"/>
    <x v="0"/>
    <x v="0"/>
    <x v="0"/>
    <x v="13"/>
    <n v="0"/>
    <n v="2"/>
    <x v="1"/>
    <n v="2"/>
    <x v="2"/>
    <n v="0.19700000000000001"/>
    <x v="3"/>
    <n v="0.22389999999999999"/>
    <x v="3"/>
    <x v="97"/>
    <x v="34"/>
  </r>
  <r>
    <n v="399"/>
    <x v="17"/>
    <x v="0"/>
    <x v="0"/>
    <x v="0"/>
    <x v="14"/>
    <n v="0"/>
    <n v="2"/>
    <x v="1"/>
    <n v="2"/>
    <x v="1"/>
    <n v="0.2273"/>
    <x v="1"/>
    <n v="0.16420000000000001"/>
    <x v="4"/>
    <x v="16"/>
    <x v="20"/>
  </r>
  <r>
    <n v="400"/>
    <x v="17"/>
    <x v="0"/>
    <x v="0"/>
    <x v="0"/>
    <x v="15"/>
    <n v="0"/>
    <n v="2"/>
    <x v="1"/>
    <n v="2"/>
    <x v="1"/>
    <n v="0.2273"/>
    <x v="9"/>
    <n v="0.16420000000000001"/>
    <x v="0"/>
    <x v="1"/>
    <x v="17"/>
  </r>
  <r>
    <n v="401"/>
    <x v="17"/>
    <x v="0"/>
    <x v="0"/>
    <x v="0"/>
    <x v="16"/>
    <n v="0"/>
    <n v="2"/>
    <x v="1"/>
    <n v="2"/>
    <x v="1"/>
    <n v="0.2273"/>
    <x v="9"/>
    <n v="0.19400000000000001"/>
    <x v="3"/>
    <x v="124"/>
    <x v="42"/>
  </r>
  <r>
    <n v="402"/>
    <x v="17"/>
    <x v="0"/>
    <x v="0"/>
    <x v="0"/>
    <x v="17"/>
    <n v="0"/>
    <n v="2"/>
    <x v="1"/>
    <n v="2"/>
    <x v="1"/>
    <n v="0.2273"/>
    <x v="7"/>
    <n v="0.19400000000000001"/>
    <x v="5"/>
    <x v="125"/>
    <x v="139"/>
  </r>
  <r>
    <n v="403"/>
    <x v="17"/>
    <x v="0"/>
    <x v="0"/>
    <x v="0"/>
    <x v="18"/>
    <n v="0"/>
    <n v="2"/>
    <x v="1"/>
    <n v="2"/>
    <x v="1"/>
    <n v="0.2273"/>
    <x v="1"/>
    <n v="0.16420000000000001"/>
    <x v="5"/>
    <x v="126"/>
    <x v="140"/>
  </r>
  <r>
    <n v="404"/>
    <x v="17"/>
    <x v="0"/>
    <x v="0"/>
    <x v="0"/>
    <x v="19"/>
    <n v="0"/>
    <n v="2"/>
    <x v="1"/>
    <n v="2"/>
    <x v="1"/>
    <n v="0.2273"/>
    <x v="1"/>
    <n v="0.1343"/>
    <x v="5"/>
    <x v="52"/>
    <x v="111"/>
  </r>
  <r>
    <n v="405"/>
    <x v="17"/>
    <x v="0"/>
    <x v="0"/>
    <x v="0"/>
    <x v="20"/>
    <n v="0"/>
    <n v="2"/>
    <x v="1"/>
    <n v="2"/>
    <x v="1"/>
    <n v="0.2727"/>
    <x v="9"/>
    <n v="0"/>
    <x v="3"/>
    <x v="93"/>
    <x v="56"/>
  </r>
  <r>
    <n v="406"/>
    <x v="17"/>
    <x v="0"/>
    <x v="0"/>
    <x v="0"/>
    <x v="21"/>
    <n v="0"/>
    <n v="2"/>
    <x v="1"/>
    <n v="2"/>
    <x v="1"/>
    <n v="0.2424"/>
    <x v="43"/>
    <n v="0.1045"/>
    <x v="3"/>
    <x v="40"/>
    <x v="102"/>
  </r>
  <r>
    <n v="407"/>
    <x v="17"/>
    <x v="0"/>
    <x v="0"/>
    <x v="0"/>
    <x v="22"/>
    <n v="0"/>
    <n v="2"/>
    <x v="1"/>
    <n v="2"/>
    <x v="1"/>
    <n v="0.2576"/>
    <x v="43"/>
    <n v="8.9599999999999999E-2"/>
    <x v="3"/>
    <x v="39"/>
    <x v="63"/>
  </r>
  <r>
    <n v="408"/>
    <x v="17"/>
    <x v="0"/>
    <x v="0"/>
    <x v="0"/>
    <x v="23"/>
    <n v="0"/>
    <n v="2"/>
    <x v="1"/>
    <n v="2"/>
    <x v="1"/>
    <n v="0.2727"/>
    <x v="43"/>
    <n v="0"/>
    <x v="5"/>
    <x v="23"/>
    <x v="25"/>
  </r>
  <r>
    <n v="409"/>
    <x v="18"/>
    <x v="0"/>
    <x v="0"/>
    <x v="0"/>
    <x v="0"/>
    <n v="0"/>
    <n v="3"/>
    <x v="1"/>
    <n v="2"/>
    <x v="1"/>
    <n v="0.2727"/>
    <x v="43"/>
    <n v="0"/>
    <x v="3"/>
    <x v="35"/>
    <x v="6"/>
  </r>
  <r>
    <n v="410"/>
    <x v="18"/>
    <x v="0"/>
    <x v="0"/>
    <x v="0"/>
    <x v="1"/>
    <n v="0"/>
    <n v="3"/>
    <x v="1"/>
    <n v="3"/>
    <x v="1"/>
    <n v="0.2273"/>
    <x v="43"/>
    <n v="0.1343"/>
    <x v="5"/>
    <x v="8"/>
    <x v="85"/>
  </r>
  <r>
    <n v="411"/>
    <x v="18"/>
    <x v="0"/>
    <x v="0"/>
    <x v="0"/>
    <x v="2"/>
    <n v="0"/>
    <n v="3"/>
    <x v="1"/>
    <n v="3"/>
    <x v="1"/>
    <n v="0.2273"/>
    <x v="43"/>
    <n v="0.1343"/>
    <x v="3"/>
    <x v="35"/>
    <x v="6"/>
  </r>
  <r>
    <n v="412"/>
    <x v="18"/>
    <x v="0"/>
    <x v="0"/>
    <x v="0"/>
    <x v="4"/>
    <n v="0"/>
    <n v="3"/>
    <x v="1"/>
    <n v="3"/>
    <x v="1"/>
    <n v="0.2273"/>
    <x v="43"/>
    <n v="0.1343"/>
    <x v="5"/>
    <x v="4"/>
    <x v="5"/>
  </r>
  <r>
    <n v="413"/>
    <x v="18"/>
    <x v="0"/>
    <x v="0"/>
    <x v="0"/>
    <x v="5"/>
    <n v="0"/>
    <n v="3"/>
    <x v="1"/>
    <n v="2"/>
    <x v="1"/>
    <n v="0.2576"/>
    <x v="43"/>
    <n v="8.9599999999999999E-2"/>
    <x v="3"/>
    <x v="7"/>
    <x v="85"/>
  </r>
  <r>
    <n v="414"/>
    <x v="18"/>
    <x v="0"/>
    <x v="0"/>
    <x v="0"/>
    <x v="6"/>
    <n v="0"/>
    <n v="3"/>
    <x v="1"/>
    <n v="2"/>
    <x v="1"/>
    <n v="0.2576"/>
    <x v="43"/>
    <n v="8.9599999999999999E-2"/>
    <x v="3"/>
    <x v="1"/>
    <x v="2"/>
  </r>
  <r>
    <n v="415"/>
    <x v="18"/>
    <x v="0"/>
    <x v="0"/>
    <x v="0"/>
    <x v="7"/>
    <n v="0"/>
    <n v="3"/>
    <x v="1"/>
    <n v="2"/>
    <x v="0"/>
    <n v="0.2576"/>
    <x v="50"/>
    <n v="0.1045"/>
    <x v="5"/>
    <x v="121"/>
    <x v="127"/>
  </r>
  <r>
    <n v="416"/>
    <x v="18"/>
    <x v="0"/>
    <x v="0"/>
    <x v="0"/>
    <x v="8"/>
    <n v="0"/>
    <n v="3"/>
    <x v="1"/>
    <n v="2"/>
    <x v="0"/>
    <n v="0.2576"/>
    <x v="43"/>
    <n v="0.1045"/>
    <x v="5"/>
    <x v="127"/>
    <x v="141"/>
  </r>
  <r>
    <n v="417"/>
    <x v="18"/>
    <x v="0"/>
    <x v="0"/>
    <x v="0"/>
    <x v="9"/>
    <n v="0"/>
    <n v="3"/>
    <x v="1"/>
    <n v="2"/>
    <x v="0"/>
    <n v="0.2576"/>
    <x v="43"/>
    <n v="0.1045"/>
    <x v="4"/>
    <x v="128"/>
    <x v="142"/>
  </r>
  <r>
    <n v="418"/>
    <x v="18"/>
    <x v="0"/>
    <x v="0"/>
    <x v="0"/>
    <x v="10"/>
    <n v="0"/>
    <n v="3"/>
    <x v="1"/>
    <n v="2"/>
    <x v="12"/>
    <n v="0.2727"/>
    <x v="43"/>
    <n v="0.1343"/>
    <x v="5"/>
    <x v="24"/>
    <x v="105"/>
  </r>
  <r>
    <n v="419"/>
    <x v="18"/>
    <x v="0"/>
    <x v="0"/>
    <x v="0"/>
    <x v="11"/>
    <n v="0"/>
    <n v="3"/>
    <x v="1"/>
    <n v="2"/>
    <x v="17"/>
    <n v="0.30299999999999999"/>
    <x v="9"/>
    <n v="8.9599999999999999E-2"/>
    <x v="2"/>
    <x v="12"/>
    <x v="46"/>
  </r>
  <r>
    <n v="420"/>
    <x v="18"/>
    <x v="0"/>
    <x v="0"/>
    <x v="0"/>
    <x v="12"/>
    <n v="0"/>
    <n v="3"/>
    <x v="1"/>
    <n v="2"/>
    <x v="11"/>
    <n v="0.31819999999999998"/>
    <x v="0"/>
    <n v="8.9599999999999999E-2"/>
    <x v="2"/>
    <x v="65"/>
    <x v="27"/>
  </r>
  <r>
    <n v="421"/>
    <x v="18"/>
    <x v="0"/>
    <x v="0"/>
    <x v="0"/>
    <x v="13"/>
    <n v="0"/>
    <n v="3"/>
    <x v="1"/>
    <n v="1"/>
    <x v="9"/>
    <n v="0.40910000000000002"/>
    <x v="51"/>
    <n v="0.28360000000000002"/>
    <x v="16"/>
    <x v="28"/>
    <x v="53"/>
  </r>
  <r>
    <n v="422"/>
    <x v="18"/>
    <x v="0"/>
    <x v="0"/>
    <x v="0"/>
    <x v="14"/>
    <n v="0"/>
    <n v="3"/>
    <x v="1"/>
    <n v="1"/>
    <x v="9"/>
    <n v="0.40910000000000002"/>
    <x v="52"/>
    <n v="0.25369999999999998"/>
    <x v="18"/>
    <x v="56"/>
    <x v="28"/>
  </r>
  <r>
    <n v="423"/>
    <x v="18"/>
    <x v="0"/>
    <x v="0"/>
    <x v="0"/>
    <x v="15"/>
    <n v="0"/>
    <n v="3"/>
    <x v="1"/>
    <n v="1"/>
    <x v="9"/>
    <n v="0.40910000000000002"/>
    <x v="47"/>
    <n v="0.28360000000000002"/>
    <x v="17"/>
    <x v="78"/>
    <x v="100"/>
  </r>
  <r>
    <n v="424"/>
    <x v="18"/>
    <x v="0"/>
    <x v="0"/>
    <x v="0"/>
    <x v="16"/>
    <n v="0"/>
    <n v="3"/>
    <x v="1"/>
    <n v="1"/>
    <x v="4"/>
    <n v="0.39389999999999997"/>
    <x v="52"/>
    <n v="0.3881"/>
    <x v="22"/>
    <x v="111"/>
    <x v="133"/>
  </r>
  <r>
    <n v="425"/>
    <x v="18"/>
    <x v="0"/>
    <x v="0"/>
    <x v="0"/>
    <x v="17"/>
    <n v="0"/>
    <n v="3"/>
    <x v="1"/>
    <n v="1"/>
    <x v="5"/>
    <n v="0.33329999999999999"/>
    <x v="14"/>
    <n v="0.32840000000000003"/>
    <x v="18"/>
    <x v="84"/>
    <x v="141"/>
  </r>
  <r>
    <n v="426"/>
    <x v="18"/>
    <x v="0"/>
    <x v="0"/>
    <x v="0"/>
    <x v="18"/>
    <n v="0"/>
    <n v="3"/>
    <x v="1"/>
    <n v="1"/>
    <x v="10"/>
    <n v="0.31819999999999998"/>
    <x v="53"/>
    <n v="0.28360000000000002"/>
    <x v="2"/>
    <x v="117"/>
    <x v="143"/>
  </r>
  <r>
    <n v="427"/>
    <x v="18"/>
    <x v="0"/>
    <x v="0"/>
    <x v="0"/>
    <x v="19"/>
    <n v="0"/>
    <n v="3"/>
    <x v="1"/>
    <n v="1"/>
    <x v="3"/>
    <n v="0.28789999999999999"/>
    <x v="14"/>
    <n v="0.41789999999999999"/>
    <x v="17"/>
    <x v="123"/>
    <x v="59"/>
  </r>
  <r>
    <n v="428"/>
    <x v="18"/>
    <x v="0"/>
    <x v="0"/>
    <x v="0"/>
    <x v="20"/>
    <n v="0"/>
    <n v="3"/>
    <x v="1"/>
    <n v="1"/>
    <x v="3"/>
    <n v="0.30299999999999999"/>
    <x v="36"/>
    <n v="0.29849999999999999"/>
    <x v="4"/>
    <x v="64"/>
    <x v="31"/>
  </r>
  <r>
    <n v="429"/>
    <x v="18"/>
    <x v="0"/>
    <x v="0"/>
    <x v="0"/>
    <x v="21"/>
    <n v="0"/>
    <n v="3"/>
    <x v="1"/>
    <n v="1"/>
    <x v="3"/>
    <n v="0.28789999999999999"/>
    <x v="36"/>
    <n v="0.41789999999999999"/>
    <x v="17"/>
    <x v="11"/>
    <x v="29"/>
  </r>
  <r>
    <n v="430"/>
    <x v="18"/>
    <x v="0"/>
    <x v="0"/>
    <x v="0"/>
    <x v="22"/>
    <n v="0"/>
    <n v="3"/>
    <x v="1"/>
    <n v="1"/>
    <x v="11"/>
    <n v="0.30299999999999999"/>
    <x v="35"/>
    <n v="0.16420000000000001"/>
    <x v="15"/>
    <x v="42"/>
    <x v="29"/>
  </r>
  <r>
    <n v="431"/>
    <x v="18"/>
    <x v="0"/>
    <x v="0"/>
    <x v="0"/>
    <x v="23"/>
    <n v="0"/>
    <n v="3"/>
    <x v="1"/>
    <n v="1"/>
    <x v="11"/>
    <n v="0.2727"/>
    <x v="35"/>
    <n v="0.4627"/>
    <x v="5"/>
    <x v="2"/>
    <x v="20"/>
  </r>
  <r>
    <n v="432"/>
    <x v="19"/>
    <x v="0"/>
    <x v="0"/>
    <x v="0"/>
    <x v="0"/>
    <n v="0"/>
    <n v="4"/>
    <x v="1"/>
    <n v="1"/>
    <x v="12"/>
    <n v="0.2273"/>
    <x v="34"/>
    <n v="0.3881"/>
    <x v="2"/>
    <x v="21"/>
    <x v="3"/>
  </r>
  <r>
    <n v="433"/>
    <x v="19"/>
    <x v="0"/>
    <x v="0"/>
    <x v="0"/>
    <x v="1"/>
    <n v="0"/>
    <n v="4"/>
    <x v="1"/>
    <n v="1"/>
    <x v="12"/>
    <n v="0.2727"/>
    <x v="34"/>
    <n v="0"/>
    <x v="4"/>
    <x v="35"/>
    <x v="36"/>
  </r>
  <r>
    <n v="434"/>
    <x v="19"/>
    <x v="0"/>
    <x v="0"/>
    <x v="0"/>
    <x v="2"/>
    <n v="0"/>
    <n v="4"/>
    <x v="1"/>
    <n v="1"/>
    <x v="12"/>
    <n v="0.2727"/>
    <x v="34"/>
    <n v="0"/>
    <x v="3"/>
    <x v="6"/>
    <x v="5"/>
  </r>
  <r>
    <n v="435"/>
    <x v="19"/>
    <x v="0"/>
    <x v="0"/>
    <x v="0"/>
    <x v="3"/>
    <n v="0"/>
    <n v="4"/>
    <x v="1"/>
    <n v="1"/>
    <x v="12"/>
    <n v="0.2576"/>
    <x v="34"/>
    <n v="0.16420000000000001"/>
    <x v="3"/>
    <x v="4"/>
    <x v="4"/>
  </r>
  <r>
    <n v="436"/>
    <x v="19"/>
    <x v="0"/>
    <x v="0"/>
    <x v="0"/>
    <x v="4"/>
    <n v="0"/>
    <n v="4"/>
    <x v="1"/>
    <n v="1"/>
    <x v="12"/>
    <n v="0.2576"/>
    <x v="34"/>
    <n v="0.16420000000000001"/>
    <x v="3"/>
    <x v="4"/>
    <x v="4"/>
  </r>
  <r>
    <n v="437"/>
    <x v="19"/>
    <x v="0"/>
    <x v="0"/>
    <x v="0"/>
    <x v="5"/>
    <n v="0"/>
    <n v="4"/>
    <x v="1"/>
    <n v="1"/>
    <x v="0"/>
    <n v="0.2273"/>
    <x v="54"/>
    <n v="0.22389999999999999"/>
    <x v="3"/>
    <x v="8"/>
    <x v="24"/>
  </r>
  <r>
    <n v="438"/>
    <x v="19"/>
    <x v="0"/>
    <x v="0"/>
    <x v="0"/>
    <x v="6"/>
    <n v="0"/>
    <n v="4"/>
    <x v="1"/>
    <n v="1"/>
    <x v="1"/>
    <n v="0.21210000000000001"/>
    <x v="54"/>
    <n v="0.22389999999999999"/>
    <x v="3"/>
    <x v="96"/>
    <x v="17"/>
  </r>
  <r>
    <n v="439"/>
    <x v="19"/>
    <x v="0"/>
    <x v="0"/>
    <x v="0"/>
    <x v="7"/>
    <n v="0"/>
    <n v="4"/>
    <x v="1"/>
    <n v="1"/>
    <x v="1"/>
    <n v="0.21210000000000001"/>
    <x v="28"/>
    <n v="0.22389999999999999"/>
    <x v="5"/>
    <x v="129"/>
    <x v="129"/>
  </r>
  <r>
    <n v="440"/>
    <x v="19"/>
    <x v="0"/>
    <x v="0"/>
    <x v="0"/>
    <x v="8"/>
    <n v="0"/>
    <n v="4"/>
    <x v="1"/>
    <n v="1"/>
    <x v="1"/>
    <n v="0.21210000000000001"/>
    <x v="28"/>
    <n v="0.28360000000000002"/>
    <x v="4"/>
    <x v="130"/>
    <x v="144"/>
  </r>
  <r>
    <n v="441"/>
    <x v="19"/>
    <x v="0"/>
    <x v="0"/>
    <x v="0"/>
    <x v="9"/>
    <n v="0"/>
    <n v="4"/>
    <x v="1"/>
    <n v="2"/>
    <x v="0"/>
    <n v="0.2273"/>
    <x v="35"/>
    <n v="0.22389999999999999"/>
    <x v="0"/>
    <x v="131"/>
    <x v="145"/>
  </r>
  <r>
    <n v="442"/>
    <x v="19"/>
    <x v="0"/>
    <x v="0"/>
    <x v="0"/>
    <x v="10"/>
    <n v="0"/>
    <n v="4"/>
    <x v="1"/>
    <n v="1"/>
    <x v="12"/>
    <n v="0.2273"/>
    <x v="37"/>
    <n v="0.29849999999999999"/>
    <x v="5"/>
    <x v="90"/>
    <x v="52"/>
  </r>
  <r>
    <n v="443"/>
    <x v="19"/>
    <x v="0"/>
    <x v="0"/>
    <x v="0"/>
    <x v="11"/>
    <n v="0"/>
    <n v="4"/>
    <x v="1"/>
    <n v="2"/>
    <x v="17"/>
    <n v="0.2727"/>
    <x v="49"/>
    <n v="0.16420000000000001"/>
    <x v="2"/>
    <x v="36"/>
    <x v="118"/>
  </r>
  <r>
    <n v="444"/>
    <x v="19"/>
    <x v="0"/>
    <x v="0"/>
    <x v="0"/>
    <x v="12"/>
    <n v="0"/>
    <n v="4"/>
    <x v="1"/>
    <n v="2"/>
    <x v="11"/>
    <n v="0.33329999999999999"/>
    <x v="16"/>
    <n v="0"/>
    <x v="18"/>
    <x v="99"/>
    <x v="11"/>
  </r>
  <r>
    <n v="445"/>
    <x v="19"/>
    <x v="0"/>
    <x v="0"/>
    <x v="0"/>
    <x v="13"/>
    <n v="0"/>
    <n v="4"/>
    <x v="1"/>
    <n v="2"/>
    <x v="17"/>
    <n v="0.28789999999999999"/>
    <x v="49"/>
    <n v="0.1045"/>
    <x v="6"/>
    <x v="132"/>
    <x v="95"/>
  </r>
  <r>
    <n v="446"/>
    <x v="19"/>
    <x v="0"/>
    <x v="0"/>
    <x v="0"/>
    <x v="14"/>
    <n v="0"/>
    <n v="4"/>
    <x v="1"/>
    <n v="2"/>
    <x v="11"/>
    <n v="0.30299999999999999"/>
    <x v="49"/>
    <n v="0.1343"/>
    <x v="15"/>
    <x v="102"/>
    <x v="117"/>
  </r>
  <r>
    <n v="447"/>
    <x v="19"/>
    <x v="0"/>
    <x v="0"/>
    <x v="0"/>
    <x v="15"/>
    <n v="0"/>
    <n v="4"/>
    <x v="1"/>
    <n v="2"/>
    <x v="3"/>
    <n v="0.31819999999999998"/>
    <x v="49"/>
    <n v="0.19400000000000001"/>
    <x v="1"/>
    <x v="133"/>
    <x v="27"/>
  </r>
  <r>
    <n v="448"/>
    <x v="19"/>
    <x v="0"/>
    <x v="0"/>
    <x v="0"/>
    <x v="16"/>
    <n v="0"/>
    <n v="4"/>
    <x v="1"/>
    <n v="2"/>
    <x v="11"/>
    <n v="0.30299999999999999"/>
    <x v="36"/>
    <n v="0.1343"/>
    <x v="1"/>
    <x v="93"/>
    <x v="134"/>
  </r>
  <r>
    <n v="449"/>
    <x v="19"/>
    <x v="0"/>
    <x v="0"/>
    <x v="0"/>
    <x v="17"/>
    <n v="0"/>
    <n v="4"/>
    <x v="1"/>
    <n v="2"/>
    <x v="11"/>
    <n v="0.31819999999999998"/>
    <x v="36"/>
    <n v="0.1045"/>
    <x v="1"/>
    <x v="134"/>
    <x v="146"/>
  </r>
  <r>
    <n v="450"/>
    <x v="19"/>
    <x v="0"/>
    <x v="0"/>
    <x v="0"/>
    <x v="18"/>
    <n v="0"/>
    <n v="4"/>
    <x v="1"/>
    <n v="2"/>
    <x v="12"/>
    <n v="0.2576"/>
    <x v="34"/>
    <n v="0.19400000000000001"/>
    <x v="5"/>
    <x v="103"/>
    <x v="147"/>
  </r>
  <r>
    <n v="451"/>
    <x v="19"/>
    <x v="0"/>
    <x v="0"/>
    <x v="0"/>
    <x v="19"/>
    <n v="0"/>
    <n v="4"/>
    <x v="1"/>
    <n v="1"/>
    <x v="12"/>
    <n v="0.2273"/>
    <x v="34"/>
    <n v="0.32840000000000003"/>
    <x v="15"/>
    <x v="44"/>
    <x v="148"/>
  </r>
  <r>
    <n v="452"/>
    <x v="19"/>
    <x v="0"/>
    <x v="0"/>
    <x v="0"/>
    <x v="20"/>
    <n v="0"/>
    <n v="4"/>
    <x v="1"/>
    <n v="2"/>
    <x v="12"/>
    <n v="0.2424"/>
    <x v="54"/>
    <n v="0.28360000000000002"/>
    <x v="4"/>
    <x v="125"/>
    <x v="149"/>
  </r>
  <r>
    <n v="453"/>
    <x v="19"/>
    <x v="0"/>
    <x v="0"/>
    <x v="0"/>
    <x v="21"/>
    <n v="0"/>
    <n v="4"/>
    <x v="1"/>
    <n v="2"/>
    <x v="0"/>
    <n v="0.2273"/>
    <x v="54"/>
    <n v="0.25369999999999998"/>
    <x v="0"/>
    <x v="25"/>
    <x v="52"/>
  </r>
  <r>
    <n v="454"/>
    <x v="19"/>
    <x v="0"/>
    <x v="0"/>
    <x v="0"/>
    <x v="22"/>
    <n v="0"/>
    <n v="4"/>
    <x v="1"/>
    <n v="2"/>
    <x v="0"/>
    <n v="0.21210000000000001"/>
    <x v="55"/>
    <n v="0.28360000000000002"/>
    <x v="3"/>
    <x v="90"/>
    <x v="10"/>
  </r>
  <r>
    <n v="455"/>
    <x v="19"/>
    <x v="0"/>
    <x v="0"/>
    <x v="0"/>
    <x v="23"/>
    <n v="0"/>
    <n v="4"/>
    <x v="1"/>
    <n v="2"/>
    <x v="0"/>
    <n v="0.21210000000000001"/>
    <x v="55"/>
    <n v="0.32840000000000003"/>
    <x v="0"/>
    <x v="95"/>
    <x v="35"/>
  </r>
  <r>
    <n v="456"/>
    <x v="20"/>
    <x v="0"/>
    <x v="0"/>
    <x v="0"/>
    <x v="0"/>
    <n v="0"/>
    <n v="5"/>
    <x v="1"/>
    <n v="2"/>
    <x v="0"/>
    <n v="0.2273"/>
    <x v="56"/>
    <n v="0.25369999999999998"/>
    <x v="5"/>
    <x v="32"/>
    <x v="137"/>
  </r>
  <r>
    <n v="457"/>
    <x v="20"/>
    <x v="0"/>
    <x v="0"/>
    <x v="0"/>
    <x v="1"/>
    <n v="0"/>
    <n v="5"/>
    <x v="1"/>
    <n v="2"/>
    <x v="0"/>
    <n v="0.2273"/>
    <x v="56"/>
    <n v="0.25369999999999998"/>
    <x v="3"/>
    <x v="8"/>
    <x v="24"/>
  </r>
  <r>
    <n v="458"/>
    <x v="20"/>
    <x v="0"/>
    <x v="0"/>
    <x v="0"/>
    <x v="2"/>
    <n v="0"/>
    <n v="5"/>
    <x v="1"/>
    <n v="3"/>
    <x v="0"/>
    <n v="0.2424"/>
    <x v="2"/>
    <n v="0.16420000000000001"/>
    <x v="3"/>
    <x v="6"/>
    <x v="5"/>
  </r>
  <r>
    <n v="459"/>
    <x v="20"/>
    <x v="0"/>
    <x v="0"/>
    <x v="0"/>
    <x v="3"/>
    <n v="0"/>
    <n v="5"/>
    <x v="1"/>
    <n v="3"/>
    <x v="1"/>
    <n v="0.21210000000000001"/>
    <x v="1"/>
    <n v="0.29849999999999999"/>
    <x v="3"/>
    <x v="4"/>
    <x v="4"/>
  </r>
  <r>
    <n v="460"/>
    <x v="20"/>
    <x v="0"/>
    <x v="0"/>
    <x v="0"/>
    <x v="4"/>
    <n v="0"/>
    <n v="5"/>
    <x v="1"/>
    <n v="2"/>
    <x v="1"/>
    <n v="0.2576"/>
    <x v="9"/>
    <n v="8.9599999999999999E-2"/>
    <x v="3"/>
    <x v="4"/>
    <x v="4"/>
  </r>
  <r>
    <n v="461"/>
    <x v="20"/>
    <x v="0"/>
    <x v="0"/>
    <x v="0"/>
    <x v="5"/>
    <n v="0"/>
    <n v="5"/>
    <x v="1"/>
    <n v="1"/>
    <x v="0"/>
    <n v="0.19700000000000001"/>
    <x v="54"/>
    <n v="0.41789999999999999"/>
    <x v="5"/>
    <x v="22"/>
    <x v="36"/>
  </r>
  <r>
    <n v="462"/>
    <x v="20"/>
    <x v="0"/>
    <x v="0"/>
    <x v="0"/>
    <x v="6"/>
    <n v="0"/>
    <n v="5"/>
    <x v="1"/>
    <n v="1"/>
    <x v="1"/>
    <n v="0.21210000000000001"/>
    <x v="28"/>
    <n v="0.25369999999999998"/>
    <x v="3"/>
    <x v="2"/>
    <x v="110"/>
  </r>
  <r>
    <n v="463"/>
    <x v="20"/>
    <x v="0"/>
    <x v="0"/>
    <x v="0"/>
    <x v="7"/>
    <n v="0"/>
    <n v="5"/>
    <x v="1"/>
    <n v="1"/>
    <x v="2"/>
    <n v="0.18179999999999999"/>
    <x v="33"/>
    <n v="0.28360000000000002"/>
    <x v="4"/>
    <x v="43"/>
    <x v="118"/>
  </r>
  <r>
    <n v="464"/>
    <x v="20"/>
    <x v="0"/>
    <x v="0"/>
    <x v="0"/>
    <x v="8"/>
    <n v="0"/>
    <n v="5"/>
    <x v="1"/>
    <n v="1"/>
    <x v="2"/>
    <n v="0.18179999999999999"/>
    <x v="19"/>
    <n v="0.32840000000000003"/>
    <x v="18"/>
    <x v="135"/>
    <x v="112"/>
  </r>
  <r>
    <n v="465"/>
    <x v="20"/>
    <x v="0"/>
    <x v="0"/>
    <x v="0"/>
    <x v="9"/>
    <n v="0"/>
    <n v="5"/>
    <x v="1"/>
    <n v="1"/>
    <x v="2"/>
    <n v="0.18179999999999999"/>
    <x v="33"/>
    <n v="0.35820000000000002"/>
    <x v="18"/>
    <x v="136"/>
    <x v="150"/>
  </r>
  <r>
    <n v="466"/>
    <x v="20"/>
    <x v="0"/>
    <x v="0"/>
    <x v="0"/>
    <x v="10"/>
    <n v="0"/>
    <n v="5"/>
    <x v="1"/>
    <n v="1"/>
    <x v="2"/>
    <n v="0.16669999999999999"/>
    <x v="19"/>
    <n v="0.4627"/>
    <x v="15"/>
    <x v="77"/>
    <x v="55"/>
  </r>
  <r>
    <n v="467"/>
    <x v="20"/>
    <x v="0"/>
    <x v="0"/>
    <x v="0"/>
    <x v="11"/>
    <n v="0"/>
    <n v="5"/>
    <x v="1"/>
    <n v="1"/>
    <x v="1"/>
    <n v="0.18179999999999999"/>
    <x v="48"/>
    <n v="0.4627"/>
    <x v="15"/>
    <x v="42"/>
    <x v="29"/>
  </r>
  <r>
    <n v="468"/>
    <x v="20"/>
    <x v="0"/>
    <x v="0"/>
    <x v="0"/>
    <x v="12"/>
    <n v="0"/>
    <n v="5"/>
    <x v="1"/>
    <n v="1"/>
    <x v="1"/>
    <n v="0.18179999999999999"/>
    <x v="57"/>
    <n v="0.58209999999999995"/>
    <x v="16"/>
    <x v="28"/>
    <x v="53"/>
  </r>
  <r>
    <n v="469"/>
    <x v="20"/>
    <x v="0"/>
    <x v="0"/>
    <x v="0"/>
    <x v="13"/>
    <n v="0"/>
    <n v="5"/>
    <x v="1"/>
    <n v="1"/>
    <x v="2"/>
    <n v="0.1515"/>
    <x v="58"/>
    <n v="0.58209999999999995"/>
    <x v="1"/>
    <x v="65"/>
    <x v="88"/>
  </r>
  <r>
    <n v="470"/>
    <x v="20"/>
    <x v="0"/>
    <x v="0"/>
    <x v="0"/>
    <x v="14"/>
    <n v="0"/>
    <n v="5"/>
    <x v="1"/>
    <n v="1"/>
    <x v="2"/>
    <n v="0.1515"/>
    <x v="59"/>
    <n v="0.52239999999999998"/>
    <x v="15"/>
    <x v="90"/>
    <x v="69"/>
  </r>
  <r>
    <n v="471"/>
    <x v="20"/>
    <x v="0"/>
    <x v="0"/>
    <x v="0"/>
    <x v="15"/>
    <n v="0"/>
    <n v="5"/>
    <x v="1"/>
    <n v="1"/>
    <x v="13"/>
    <n v="0.1212"/>
    <x v="60"/>
    <n v="0.44779999999999998"/>
    <x v="17"/>
    <x v="124"/>
    <x v="32"/>
  </r>
  <r>
    <n v="472"/>
    <x v="20"/>
    <x v="0"/>
    <x v="0"/>
    <x v="0"/>
    <x v="16"/>
    <n v="0"/>
    <n v="5"/>
    <x v="1"/>
    <n v="1"/>
    <x v="13"/>
    <n v="0.13639999999999999"/>
    <x v="60"/>
    <n v="0.35820000000000002"/>
    <x v="3"/>
    <x v="106"/>
    <x v="54"/>
  </r>
  <r>
    <n v="473"/>
    <x v="20"/>
    <x v="0"/>
    <x v="0"/>
    <x v="0"/>
    <x v="17"/>
    <n v="0"/>
    <n v="5"/>
    <x v="1"/>
    <n v="1"/>
    <x v="14"/>
    <n v="0.1212"/>
    <x v="40"/>
    <n v="0.35820000000000002"/>
    <x v="22"/>
    <x v="137"/>
    <x v="143"/>
  </r>
  <r>
    <n v="474"/>
    <x v="20"/>
    <x v="0"/>
    <x v="0"/>
    <x v="0"/>
    <x v="18"/>
    <n v="0"/>
    <n v="5"/>
    <x v="1"/>
    <n v="1"/>
    <x v="16"/>
    <n v="0.1212"/>
    <x v="24"/>
    <n v="0.25369999999999998"/>
    <x v="5"/>
    <x v="138"/>
    <x v="151"/>
  </r>
  <r>
    <n v="475"/>
    <x v="20"/>
    <x v="0"/>
    <x v="0"/>
    <x v="0"/>
    <x v="19"/>
    <n v="0"/>
    <n v="5"/>
    <x v="1"/>
    <n v="1"/>
    <x v="16"/>
    <n v="0.1061"/>
    <x v="24"/>
    <n v="0.32840000000000003"/>
    <x v="0"/>
    <x v="139"/>
    <x v="152"/>
  </r>
  <r>
    <n v="476"/>
    <x v="20"/>
    <x v="0"/>
    <x v="0"/>
    <x v="0"/>
    <x v="20"/>
    <n v="0"/>
    <n v="5"/>
    <x v="1"/>
    <n v="1"/>
    <x v="18"/>
    <n v="7.5800000000000006E-2"/>
    <x v="39"/>
    <n v="0.41789999999999999"/>
    <x v="5"/>
    <x v="15"/>
    <x v="26"/>
  </r>
  <r>
    <n v="477"/>
    <x v="20"/>
    <x v="0"/>
    <x v="0"/>
    <x v="0"/>
    <x v="21"/>
    <n v="0"/>
    <n v="5"/>
    <x v="1"/>
    <n v="1"/>
    <x v="19"/>
    <n v="7.5800000000000006E-2"/>
    <x v="41"/>
    <n v="0.28360000000000002"/>
    <x v="3"/>
    <x v="40"/>
    <x v="102"/>
  </r>
  <r>
    <n v="478"/>
    <x v="20"/>
    <x v="0"/>
    <x v="0"/>
    <x v="0"/>
    <x v="22"/>
    <n v="0"/>
    <n v="5"/>
    <x v="1"/>
    <n v="1"/>
    <x v="20"/>
    <n v="3.0300000000000001E-2"/>
    <x v="48"/>
    <n v="0.3881"/>
    <x v="5"/>
    <x v="39"/>
    <x v="19"/>
  </r>
  <r>
    <n v="479"/>
    <x v="20"/>
    <x v="0"/>
    <x v="0"/>
    <x v="0"/>
    <x v="23"/>
    <n v="0"/>
    <n v="5"/>
    <x v="1"/>
    <n v="1"/>
    <x v="20"/>
    <n v="4.5499999999999999E-2"/>
    <x v="41"/>
    <n v="0.32840000000000003"/>
    <x v="3"/>
    <x v="2"/>
    <x v="110"/>
  </r>
  <r>
    <n v="480"/>
    <x v="21"/>
    <x v="0"/>
    <x v="0"/>
    <x v="0"/>
    <x v="0"/>
    <n v="0"/>
    <n v="6"/>
    <x v="0"/>
    <n v="1"/>
    <x v="21"/>
    <n v="3.0300000000000001E-2"/>
    <x v="49"/>
    <n v="0.25369999999999998"/>
    <x v="3"/>
    <x v="0"/>
    <x v="3"/>
  </r>
  <r>
    <n v="481"/>
    <x v="21"/>
    <x v="0"/>
    <x v="0"/>
    <x v="0"/>
    <x v="1"/>
    <n v="0"/>
    <n v="6"/>
    <x v="0"/>
    <n v="2"/>
    <x v="21"/>
    <n v="0"/>
    <x v="48"/>
    <n v="0.3881"/>
    <x v="0"/>
    <x v="33"/>
    <x v="47"/>
  </r>
  <r>
    <n v="482"/>
    <x v="21"/>
    <x v="0"/>
    <x v="0"/>
    <x v="0"/>
    <x v="2"/>
    <n v="0"/>
    <n v="6"/>
    <x v="0"/>
    <n v="2"/>
    <x v="21"/>
    <n v="3.0300000000000001E-2"/>
    <x v="48"/>
    <n v="0.25369999999999998"/>
    <x v="3"/>
    <x v="48"/>
    <x v="62"/>
  </r>
  <r>
    <n v="483"/>
    <x v="21"/>
    <x v="0"/>
    <x v="0"/>
    <x v="0"/>
    <x v="3"/>
    <n v="0"/>
    <n v="6"/>
    <x v="0"/>
    <n v="2"/>
    <x v="21"/>
    <n v="3.0300000000000001E-2"/>
    <x v="48"/>
    <n v="0.28360000000000002"/>
    <x v="5"/>
    <x v="8"/>
    <x v="85"/>
  </r>
  <r>
    <n v="484"/>
    <x v="21"/>
    <x v="0"/>
    <x v="0"/>
    <x v="0"/>
    <x v="4"/>
    <n v="0"/>
    <n v="6"/>
    <x v="0"/>
    <n v="2"/>
    <x v="22"/>
    <n v="1.52E-2"/>
    <x v="37"/>
    <n v="0.29849999999999999"/>
    <x v="3"/>
    <x v="35"/>
    <x v="6"/>
  </r>
  <r>
    <n v="485"/>
    <x v="21"/>
    <x v="0"/>
    <x v="0"/>
    <x v="0"/>
    <x v="6"/>
    <n v="0"/>
    <n v="6"/>
    <x v="0"/>
    <n v="2"/>
    <x v="22"/>
    <n v="3.0300000000000001E-2"/>
    <x v="18"/>
    <n v="0.22389999999999999"/>
    <x v="3"/>
    <x v="6"/>
    <x v="5"/>
  </r>
  <r>
    <n v="486"/>
    <x v="21"/>
    <x v="0"/>
    <x v="0"/>
    <x v="0"/>
    <x v="7"/>
    <n v="0"/>
    <n v="6"/>
    <x v="0"/>
    <n v="1"/>
    <x v="22"/>
    <n v="1.52E-2"/>
    <x v="18"/>
    <n v="0.28360000000000002"/>
    <x v="3"/>
    <x v="21"/>
    <x v="7"/>
  </r>
  <r>
    <n v="487"/>
    <x v="21"/>
    <x v="0"/>
    <x v="0"/>
    <x v="0"/>
    <x v="8"/>
    <n v="0"/>
    <n v="6"/>
    <x v="0"/>
    <n v="1"/>
    <x v="22"/>
    <n v="0"/>
    <x v="18"/>
    <n v="0.32840000000000003"/>
    <x v="5"/>
    <x v="16"/>
    <x v="110"/>
  </r>
  <r>
    <n v="488"/>
    <x v="21"/>
    <x v="0"/>
    <x v="0"/>
    <x v="0"/>
    <x v="9"/>
    <n v="0"/>
    <n v="6"/>
    <x v="0"/>
    <n v="1"/>
    <x v="21"/>
    <n v="3.0300000000000001E-2"/>
    <x v="48"/>
    <n v="0.25369999999999998"/>
    <x v="0"/>
    <x v="53"/>
    <x v="1"/>
  </r>
  <r>
    <n v="489"/>
    <x v="21"/>
    <x v="0"/>
    <x v="0"/>
    <x v="0"/>
    <x v="10"/>
    <n v="0"/>
    <n v="6"/>
    <x v="0"/>
    <n v="2"/>
    <x v="21"/>
    <n v="6.0600000000000001E-2"/>
    <x v="48"/>
    <n v="0.16420000000000001"/>
    <x v="0"/>
    <x v="54"/>
    <x v="26"/>
  </r>
  <r>
    <n v="490"/>
    <x v="21"/>
    <x v="0"/>
    <x v="0"/>
    <x v="0"/>
    <x v="11"/>
    <n v="0"/>
    <n v="6"/>
    <x v="0"/>
    <n v="2"/>
    <x v="20"/>
    <n v="7.5800000000000006E-2"/>
    <x v="41"/>
    <n v="0.1343"/>
    <x v="17"/>
    <x v="79"/>
    <x v="55"/>
  </r>
  <r>
    <n v="491"/>
    <x v="21"/>
    <x v="0"/>
    <x v="0"/>
    <x v="0"/>
    <x v="12"/>
    <n v="0"/>
    <n v="6"/>
    <x v="0"/>
    <n v="2"/>
    <x v="20"/>
    <n v="0.1061"/>
    <x v="41"/>
    <n v="0.1045"/>
    <x v="22"/>
    <x v="91"/>
    <x v="27"/>
  </r>
  <r>
    <n v="492"/>
    <x v="21"/>
    <x v="0"/>
    <x v="0"/>
    <x v="0"/>
    <x v="13"/>
    <n v="0"/>
    <n v="6"/>
    <x v="0"/>
    <n v="1"/>
    <x v="19"/>
    <n v="0.16669999999999999"/>
    <x v="23"/>
    <n v="0"/>
    <x v="6"/>
    <x v="109"/>
    <x v="11"/>
  </r>
  <r>
    <n v="493"/>
    <x v="21"/>
    <x v="0"/>
    <x v="0"/>
    <x v="0"/>
    <x v="14"/>
    <n v="0"/>
    <n v="6"/>
    <x v="0"/>
    <n v="1"/>
    <x v="18"/>
    <n v="0.13639999999999999"/>
    <x v="39"/>
    <n v="0.1045"/>
    <x v="16"/>
    <x v="27"/>
    <x v="28"/>
  </r>
  <r>
    <n v="494"/>
    <x v="21"/>
    <x v="0"/>
    <x v="0"/>
    <x v="0"/>
    <x v="15"/>
    <n v="0"/>
    <n v="6"/>
    <x v="0"/>
    <n v="1"/>
    <x v="16"/>
    <n v="0.1515"/>
    <x v="40"/>
    <n v="0"/>
    <x v="22"/>
    <x v="139"/>
    <x v="153"/>
  </r>
  <r>
    <n v="495"/>
    <x v="21"/>
    <x v="0"/>
    <x v="0"/>
    <x v="0"/>
    <x v="16"/>
    <n v="0"/>
    <n v="6"/>
    <x v="0"/>
    <n v="1"/>
    <x v="16"/>
    <n v="0.13639999999999999"/>
    <x v="40"/>
    <n v="0.19400000000000001"/>
    <x v="16"/>
    <x v="109"/>
    <x v="56"/>
  </r>
  <r>
    <n v="496"/>
    <x v="21"/>
    <x v="0"/>
    <x v="0"/>
    <x v="0"/>
    <x v="17"/>
    <n v="0"/>
    <n v="6"/>
    <x v="0"/>
    <n v="1"/>
    <x v="16"/>
    <n v="0.19700000000000001"/>
    <x v="40"/>
    <n v="0"/>
    <x v="1"/>
    <x v="79"/>
    <x v="16"/>
  </r>
  <r>
    <n v="497"/>
    <x v="21"/>
    <x v="0"/>
    <x v="0"/>
    <x v="0"/>
    <x v="18"/>
    <n v="0"/>
    <n v="6"/>
    <x v="0"/>
    <n v="1"/>
    <x v="19"/>
    <n v="9.0899999999999995E-2"/>
    <x v="23"/>
    <n v="0.19400000000000001"/>
    <x v="3"/>
    <x v="25"/>
    <x v="60"/>
  </r>
  <r>
    <n v="498"/>
    <x v="21"/>
    <x v="0"/>
    <x v="0"/>
    <x v="0"/>
    <x v="19"/>
    <n v="0"/>
    <n v="6"/>
    <x v="0"/>
    <n v="1"/>
    <x v="19"/>
    <n v="0.1061"/>
    <x v="23"/>
    <n v="0.1343"/>
    <x v="15"/>
    <x v="42"/>
    <x v="29"/>
  </r>
  <r>
    <n v="499"/>
    <x v="21"/>
    <x v="0"/>
    <x v="0"/>
    <x v="0"/>
    <x v="20"/>
    <n v="0"/>
    <n v="6"/>
    <x v="0"/>
    <n v="1"/>
    <x v="20"/>
    <n v="7.5800000000000006E-2"/>
    <x v="49"/>
    <n v="0.16420000000000001"/>
    <x v="5"/>
    <x v="100"/>
    <x v="79"/>
  </r>
  <r>
    <n v="500"/>
    <x v="21"/>
    <x v="0"/>
    <x v="0"/>
    <x v="0"/>
    <x v="21"/>
    <n v="0"/>
    <n v="6"/>
    <x v="0"/>
    <n v="1"/>
    <x v="20"/>
    <n v="0.1061"/>
    <x v="48"/>
    <n v="8.9599999999999999E-2"/>
    <x v="3"/>
    <x v="87"/>
    <x v="21"/>
  </r>
  <r>
    <n v="501"/>
    <x v="21"/>
    <x v="0"/>
    <x v="0"/>
    <x v="0"/>
    <x v="22"/>
    <n v="0"/>
    <n v="6"/>
    <x v="0"/>
    <n v="1"/>
    <x v="20"/>
    <n v="0.1515"/>
    <x v="36"/>
    <n v="0"/>
    <x v="18"/>
    <x v="140"/>
    <x v="33"/>
  </r>
  <r>
    <n v="502"/>
    <x v="21"/>
    <x v="0"/>
    <x v="0"/>
    <x v="0"/>
    <x v="23"/>
    <n v="0"/>
    <n v="6"/>
    <x v="0"/>
    <n v="1"/>
    <x v="21"/>
    <n v="7.5800000000000006E-2"/>
    <x v="14"/>
    <n v="0.1045"/>
    <x v="4"/>
    <x v="17"/>
    <x v="63"/>
  </r>
  <r>
    <n v="503"/>
    <x v="22"/>
    <x v="0"/>
    <x v="0"/>
    <x v="0"/>
    <x v="0"/>
    <n v="0"/>
    <n v="0"/>
    <x v="0"/>
    <n v="1"/>
    <x v="21"/>
    <n v="7.5800000000000006E-2"/>
    <x v="14"/>
    <n v="0.1045"/>
    <x v="4"/>
    <x v="32"/>
    <x v="34"/>
  </r>
  <r>
    <n v="504"/>
    <x v="22"/>
    <x v="0"/>
    <x v="0"/>
    <x v="0"/>
    <x v="1"/>
    <n v="0"/>
    <n v="0"/>
    <x v="0"/>
    <n v="1"/>
    <x v="21"/>
    <n v="7.5800000000000006E-2"/>
    <x v="14"/>
    <n v="0.1045"/>
    <x v="5"/>
    <x v="98"/>
    <x v="3"/>
  </r>
  <r>
    <n v="505"/>
    <x v="22"/>
    <x v="0"/>
    <x v="0"/>
    <x v="0"/>
    <x v="2"/>
    <n v="0"/>
    <n v="0"/>
    <x v="0"/>
    <n v="1"/>
    <x v="22"/>
    <n v="6.0600000000000001E-2"/>
    <x v="51"/>
    <n v="0.1343"/>
    <x v="0"/>
    <x v="89"/>
    <x v="109"/>
  </r>
  <r>
    <n v="506"/>
    <x v="22"/>
    <x v="0"/>
    <x v="0"/>
    <x v="0"/>
    <x v="3"/>
    <n v="0"/>
    <n v="0"/>
    <x v="0"/>
    <n v="1"/>
    <x v="22"/>
    <n v="6.0600000000000001E-2"/>
    <x v="51"/>
    <n v="0.1343"/>
    <x v="5"/>
    <x v="22"/>
    <x v="36"/>
  </r>
  <r>
    <n v="507"/>
    <x v="22"/>
    <x v="0"/>
    <x v="0"/>
    <x v="0"/>
    <x v="5"/>
    <n v="0"/>
    <n v="0"/>
    <x v="0"/>
    <n v="2"/>
    <x v="21"/>
    <n v="7.5800000000000006E-2"/>
    <x v="14"/>
    <n v="0.1045"/>
    <x v="3"/>
    <x v="35"/>
    <x v="6"/>
  </r>
  <r>
    <n v="508"/>
    <x v="22"/>
    <x v="0"/>
    <x v="0"/>
    <x v="0"/>
    <x v="6"/>
    <n v="0"/>
    <n v="0"/>
    <x v="0"/>
    <n v="2"/>
    <x v="21"/>
    <n v="7.5800000000000006E-2"/>
    <x v="14"/>
    <n v="0.1045"/>
    <x v="3"/>
    <x v="4"/>
    <x v="4"/>
  </r>
  <r>
    <n v="509"/>
    <x v="22"/>
    <x v="0"/>
    <x v="0"/>
    <x v="0"/>
    <x v="7"/>
    <n v="0"/>
    <n v="0"/>
    <x v="0"/>
    <n v="1"/>
    <x v="19"/>
    <n v="0.1061"/>
    <x v="52"/>
    <n v="0.16420000000000001"/>
    <x v="5"/>
    <x v="4"/>
    <x v="5"/>
  </r>
  <r>
    <n v="510"/>
    <x v="22"/>
    <x v="0"/>
    <x v="0"/>
    <x v="0"/>
    <x v="8"/>
    <n v="0"/>
    <n v="0"/>
    <x v="0"/>
    <n v="1"/>
    <x v="20"/>
    <n v="7.5800000000000006E-2"/>
    <x v="51"/>
    <n v="0.16420000000000001"/>
    <x v="4"/>
    <x v="19"/>
    <x v="75"/>
  </r>
  <r>
    <n v="511"/>
    <x v="22"/>
    <x v="0"/>
    <x v="0"/>
    <x v="0"/>
    <x v="9"/>
    <n v="0"/>
    <n v="0"/>
    <x v="0"/>
    <n v="1"/>
    <x v="18"/>
    <n v="7.5800000000000006E-2"/>
    <x v="47"/>
    <n v="0.35820000000000002"/>
    <x v="0"/>
    <x v="18"/>
    <x v="20"/>
  </r>
  <r>
    <n v="512"/>
    <x v="22"/>
    <x v="0"/>
    <x v="0"/>
    <x v="0"/>
    <x v="10"/>
    <n v="0"/>
    <n v="0"/>
    <x v="0"/>
    <n v="1"/>
    <x v="14"/>
    <n v="0.1061"/>
    <x v="15"/>
    <n v="0.3881"/>
    <x v="18"/>
    <x v="82"/>
    <x v="154"/>
  </r>
  <r>
    <n v="513"/>
    <x v="22"/>
    <x v="0"/>
    <x v="0"/>
    <x v="0"/>
    <x v="11"/>
    <n v="0"/>
    <n v="0"/>
    <x v="0"/>
    <n v="1"/>
    <x v="14"/>
    <n v="0.13639999999999999"/>
    <x v="21"/>
    <n v="0.22389999999999999"/>
    <x v="30"/>
    <x v="99"/>
    <x v="111"/>
  </r>
  <r>
    <n v="514"/>
    <x v="22"/>
    <x v="0"/>
    <x v="0"/>
    <x v="0"/>
    <x v="12"/>
    <n v="0"/>
    <n v="0"/>
    <x v="0"/>
    <n v="1"/>
    <x v="13"/>
    <n v="0.1212"/>
    <x v="38"/>
    <n v="0.4627"/>
    <x v="31"/>
    <x v="50"/>
    <x v="155"/>
  </r>
  <r>
    <n v="515"/>
    <x v="22"/>
    <x v="0"/>
    <x v="0"/>
    <x v="0"/>
    <x v="13"/>
    <n v="0"/>
    <n v="0"/>
    <x v="0"/>
    <n v="1"/>
    <x v="14"/>
    <n v="0.1061"/>
    <x v="39"/>
    <n v="0.3881"/>
    <x v="6"/>
    <x v="102"/>
    <x v="90"/>
  </r>
  <r>
    <n v="516"/>
    <x v="22"/>
    <x v="0"/>
    <x v="0"/>
    <x v="0"/>
    <x v="14"/>
    <n v="0"/>
    <n v="0"/>
    <x v="0"/>
    <n v="1"/>
    <x v="13"/>
    <n v="0.13639999999999999"/>
    <x v="40"/>
    <n v="0.35820000000000002"/>
    <x v="26"/>
    <x v="139"/>
    <x v="14"/>
  </r>
  <r>
    <n v="517"/>
    <x v="22"/>
    <x v="0"/>
    <x v="0"/>
    <x v="0"/>
    <x v="15"/>
    <n v="0"/>
    <n v="0"/>
    <x v="0"/>
    <n v="1"/>
    <x v="13"/>
    <n v="0.13639999999999999"/>
    <x v="40"/>
    <n v="0.35820000000000002"/>
    <x v="23"/>
    <x v="27"/>
    <x v="43"/>
  </r>
  <r>
    <n v="518"/>
    <x v="22"/>
    <x v="0"/>
    <x v="0"/>
    <x v="0"/>
    <x v="16"/>
    <n v="0"/>
    <n v="0"/>
    <x v="0"/>
    <n v="1"/>
    <x v="13"/>
    <n v="0.13639999999999999"/>
    <x v="60"/>
    <n v="0.32840000000000003"/>
    <x v="14"/>
    <x v="90"/>
    <x v="32"/>
  </r>
  <r>
    <n v="519"/>
    <x v="22"/>
    <x v="0"/>
    <x v="0"/>
    <x v="0"/>
    <x v="17"/>
    <n v="0"/>
    <n v="0"/>
    <x v="0"/>
    <n v="1"/>
    <x v="14"/>
    <n v="0.1061"/>
    <x v="60"/>
    <n v="0.3881"/>
    <x v="2"/>
    <x v="54"/>
    <x v="97"/>
  </r>
  <r>
    <n v="520"/>
    <x v="22"/>
    <x v="0"/>
    <x v="0"/>
    <x v="0"/>
    <x v="18"/>
    <n v="0"/>
    <n v="0"/>
    <x v="0"/>
    <n v="1"/>
    <x v="16"/>
    <n v="0.1212"/>
    <x v="24"/>
    <n v="0.25369999999999998"/>
    <x v="2"/>
    <x v="100"/>
    <x v="99"/>
  </r>
  <r>
    <n v="521"/>
    <x v="22"/>
    <x v="0"/>
    <x v="0"/>
    <x v="0"/>
    <x v="19"/>
    <n v="0"/>
    <n v="0"/>
    <x v="0"/>
    <n v="1"/>
    <x v="16"/>
    <n v="0.1212"/>
    <x v="24"/>
    <n v="0.28360000000000002"/>
    <x v="2"/>
    <x v="108"/>
    <x v="89"/>
  </r>
  <r>
    <n v="522"/>
    <x v="22"/>
    <x v="0"/>
    <x v="0"/>
    <x v="0"/>
    <x v="20"/>
    <n v="0"/>
    <n v="0"/>
    <x v="0"/>
    <n v="1"/>
    <x v="18"/>
    <n v="0.1061"/>
    <x v="42"/>
    <n v="0.25369999999999998"/>
    <x v="17"/>
    <x v="17"/>
    <x v="17"/>
  </r>
  <r>
    <n v="523"/>
    <x v="22"/>
    <x v="0"/>
    <x v="0"/>
    <x v="0"/>
    <x v="21"/>
    <n v="0"/>
    <n v="0"/>
    <x v="0"/>
    <n v="1"/>
    <x v="18"/>
    <n v="0.1061"/>
    <x v="42"/>
    <n v="0.19400000000000001"/>
    <x v="2"/>
    <x v="32"/>
    <x v="94"/>
  </r>
  <r>
    <n v="524"/>
    <x v="22"/>
    <x v="0"/>
    <x v="0"/>
    <x v="0"/>
    <x v="22"/>
    <n v="0"/>
    <n v="0"/>
    <x v="0"/>
    <n v="1"/>
    <x v="19"/>
    <n v="9.0899999999999995E-2"/>
    <x v="41"/>
    <n v="0.19400000000000001"/>
    <x v="2"/>
    <x v="140"/>
    <x v="20"/>
  </r>
  <r>
    <n v="525"/>
    <x v="22"/>
    <x v="0"/>
    <x v="0"/>
    <x v="0"/>
    <x v="23"/>
    <n v="0"/>
    <n v="0"/>
    <x v="0"/>
    <n v="1"/>
    <x v="20"/>
    <n v="6.0600000000000001E-2"/>
    <x v="48"/>
    <n v="0.22389999999999999"/>
    <x v="17"/>
    <x v="19"/>
    <x v="137"/>
  </r>
  <r>
    <n v="526"/>
    <x v="23"/>
    <x v="0"/>
    <x v="0"/>
    <x v="0"/>
    <x v="0"/>
    <n v="0"/>
    <n v="1"/>
    <x v="1"/>
    <n v="1"/>
    <x v="20"/>
    <n v="6.0600000000000001E-2"/>
    <x v="48"/>
    <n v="0.19400000000000001"/>
    <x v="3"/>
    <x v="7"/>
    <x v="85"/>
  </r>
  <r>
    <n v="527"/>
    <x v="23"/>
    <x v="0"/>
    <x v="0"/>
    <x v="0"/>
    <x v="1"/>
    <n v="0"/>
    <n v="1"/>
    <x v="1"/>
    <n v="1"/>
    <x v="21"/>
    <n v="4.5499999999999999E-2"/>
    <x v="49"/>
    <n v="0.19400000000000001"/>
    <x v="3"/>
    <x v="4"/>
    <x v="4"/>
  </r>
  <r>
    <n v="528"/>
    <x v="23"/>
    <x v="0"/>
    <x v="0"/>
    <x v="0"/>
    <x v="3"/>
    <n v="0"/>
    <n v="1"/>
    <x v="1"/>
    <n v="1"/>
    <x v="21"/>
    <n v="3.0300000000000001E-2"/>
    <x v="49"/>
    <n v="0.25369999999999998"/>
    <x v="3"/>
    <x v="4"/>
    <x v="4"/>
  </r>
  <r>
    <n v="529"/>
    <x v="23"/>
    <x v="0"/>
    <x v="0"/>
    <x v="0"/>
    <x v="4"/>
    <n v="0"/>
    <n v="1"/>
    <x v="1"/>
    <n v="1"/>
    <x v="22"/>
    <n v="6.0600000000000001E-2"/>
    <x v="37"/>
    <n v="0.1343"/>
    <x v="3"/>
    <x v="4"/>
    <x v="4"/>
  </r>
  <r>
    <n v="530"/>
    <x v="23"/>
    <x v="0"/>
    <x v="0"/>
    <x v="0"/>
    <x v="5"/>
    <n v="0"/>
    <n v="1"/>
    <x v="1"/>
    <n v="1"/>
    <x v="22"/>
    <n v="6.0600000000000001E-2"/>
    <x v="37"/>
    <n v="0.1343"/>
    <x v="3"/>
    <x v="34"/>
    <x v="36"/>
  </r>
  <r>
    <n v="531"/>
    <x v="23"/>
    <x v="0"/>
    <x v="0"/>
    <x v="0"/>
    <x v="6"/>
    <n v="0"/>
    <n v="1"/>
    <x v="1"/>
    <n v="1"/>
    <x v="22"/>
    <n v="7.5800000000000006E-2"/>
    <x v="37"/>
    <n v="8.9599999999999999E-2"/>
    <x v="3"/>
    <x v="89"/>
    <x v="93"/>
  </r>
  <r>
    <n v="532"/>
    <x v="23"/>
    <x v="0"/>
    <x v="0"/>
    <x v="0"/>
    <x v="7"/>
    <n v="0"/>
    <n v="1"/>
    <x v="1"/>
    <n v="1"/>
    <x v="22"/>
    <n v="0.1212"/>
    <x v="37"/>
    <n v="0"/>
    <x v="2"/>
    <x v="55"/>
    <x v="11"/>
  </r>
  <r>
    <n v="533"/>
    <x v="23"/>
    <x v="0"/>
    <x v="0"/>
    <x v="0"/>
    <x v="8"/>
    <n v="0"/>
    <n v="1"/>
    <x v="1"/>
    <n v="1"/>
    <x v="21"/>
    <n v="0.13639999999999999"/>
    <x v="36"/>
    <n v="0"/>
    <x v="15"/>
    <x v="141"/>
    <x v="156"/>
  </r>
  <r>
    <n v="534"/>
    <x v="23"/>
    <x v="0"/>
    <x v="0"/>
    <x v="0"/>
    <x v="9"/>
    <n v="0"/>
    <n v="1"/>
    <x v="1"/>
    <n v="1"/>
    <x v="20"/>
    <n v="0.1515"/>
    <x v="48"/>
    <n v="0"/>
    <x v="17"/>
    <x v="52"/>
    <x v="96"/>
  </r>
  <r>
    <n v="535"/>
    <x v="23"/>
    <x v="0"/>
    <x v="0"/>
    <x v="0"/>
    <x v="10"/>
    <n v="0"/>
    <n v="1"/>
    <x v="1"/>
    <n v="1"/>
    <x v="18"/>
    <n v="0.13639999999999999"/>
    <x v="16"/>
    <n v="0"/>
    <x v="15"/>
    <x v="60"/>
    <x v="1"/>
  </r>
  <r>
    <n v="536"/>
    <x v="23"/>
    <x v="0"/>
    <x v="0"/>
    <x v="0"/>
    <x v="11"/>
    <n v="0"/>
    <n v="1"/>
    <x v="1"/>
    <n v="1"/>
    <x v="18"/>
    <n v="0.1212"/>
    <x v="15"/>
    <n v="0.1343"/>
    <x v="0"/>
    <x v="30"/>
    <x v="66"/>
  </r>
  <r>
    <n v="537"/>
    <x v="23"/>
    <x v="0"/>
    <x v="0"/>
    <x v="0"/>
    <x v="12"/>
    <n v="0"/>
    <n v="1"/>
    <x v="1"/>
    <n v="2"/>
    <x v="16"/>
    <n v="0.13639999999999999"/>
    <x v="16"/>
    <n v="0.19400000000000001"/>
    <x v="16"/>
    <x v="15"/>
    <x v="55"/>
  </r>
  <r>
    <n v="538"/>
    <x v="23"/>
    <x v="0"/>
    <x v="0"/>
    <x v="0"/>
    <x v="13"/>
    <n v="0"/>
    <n v="1"/>
    <x v="1"/>
    <n v="2"/>
    <x v="14"/>
    <n v="0.13639999999999999"/>
    <x v="21"/>
    <n v="0.22389999999999999"/>
    <x v="15"/>
    <x v="25"/>
    <x v="122"/>
  </r>
  <r>
    <n v="539"/>
    <x v="23"/>
    <x v="0"/>
    <x v="0"/>
    <x v="0"/>
    <x v="14"/>
    <n v="0"/>
    <n v="1"/>
    <x v="1"/>
    <n v="2"/>
    <x v="14"/>
    <n v="0.13639999999999999"/>
    <x v="15"/>
    <n v="0.22389999999999999"/>
    <x v="4"/>
    <x v="30"/>
    <x v="79"/>
  </r>
  <r>
    <n v="540"/>
    <x v="23"/>
    <x v="0"/>
    <x v="0"/>
    <x v="0"/>
    <x v="15"/>
    <n v="0"/>
    <n v="1"/>
    <x v="1"/>
    <n v="1"/>
    <x v="13"/>
    <n v="0.16669999999999999"/>
    <x v="22"/>
    <n v="0.16420000000000001"/>
    <x v="18"/>
    <x v="54"/>
    <x v="52"/>
  </r>
  <r>
    <n v="541"/>
    <x v="23"/>
    <x v="0"/>
    <x v="0"/>
    <x v="0"/>
    <x v="16"/>
    <n v="0"/>
    <n v="1"/>
    <x v="1"/>
    <n v="1"/>
    <x v="13"/>
    <n v="0.1515"/>
    <x v="19"/>
    <n v="0.25369999999999998"/>
    <x v="17"/>
    <x v="43"/>
    <x v="27"/>
  </r>
  <r>
    <n v="542"/>
    <x v="23"/>
    <x v="0"/>
    <x v="0"/>
    <x v="0"/>
    <x v="17"/>
    <n v="0"/>
    <n v="1"/>
    <x v="1"/>
    <n v="1"/>
    <x v="14"/>
    <n v="0.1212"/>
    <x v="20"/>
    <n v="0.25369999999999998"/>
    <x v="15"/>
    <x v="86"/>
    <x v="157"/>
  </r>
  <r>
    <n v="543"/>
    <x v="23"/>
    <x v="0"/>
    <x v="0"/>
    <x v="0"/>
    <x v="18"/>
    <n v="0"/>
    <n v="1"/>
    <x v="1"/>
    <n v="1"/>
    <x v="14"/>
    <n v="0.13639999999999999"/>
    <x v="29"/>
    <n v="0.19400000000000001"/>
    <x v="1"/>
    <x v="142"/>
    <x v="158"/>
  </r>
  <r>
    <n v="544"/>
    <x v="23"/>
    <x v="0"/>
    <x v="0"/>
    <x v="0"/>
    <x v="19"/>
    <n v="0"/>
    <n v="1"/>
    <x v="1"/>
    <n v="1"/>
    <x v="14"/>
    <n v="0.1515"/>
    <x v="47"/>
    <n v="0.16420000000000001"/>
    <x v="2"/>
    <x v="143"/>
    <x v="13"/>
  </r>
  <r>
    <n v="545"/>
    <x v="23"/>
    <x v="0"/>
    <x v="0"/>
    <x v="0"/>
    <x v="20"/>
    <n v="0"/>
    <n v="1"/>
    <x v="1"/>
    <n v="1"/>
    <x v="14"/>
    <n v="0.13639999999999999"/>
    <x v="29"/>
    <n v="0.19400000000000001"/>
    <x v="5"/>
    <x v="122"/>
    <x v="117"/>
  </r>
  <r>
    <n v="546"/>
    <x v="23"/>
    <x v="0"/>
    <x v="0"/>
    <x v="0"/>
    <x v="21"/>
    <n v="0"/>
    <n v="1"/>
    <x v="1"/>
    <n v="1"/>
    <x v="14"/>
    <n v="0.1515"/>
    <x v="30"/>
    <n v="0.16420000000000001"/>
    <x v="15"/>
    <x v="42"/>
    <x v="29"/>
  </r>
  <r>
    <n v="547"/>
    <x v="23"/>
    <x v="0"/>
    <x v="0"/>
    <x v="0"/>
    <x v="22"/>
    <n v="0"/>
    <n v="1"/>
    <x v="1"/>
    <n v="2"/>
    <x v="14"/>
    <n v="0.13639999999999999"/>
    <x v="30"/>
    <n v="0.22389999999999999"/>
    <x v="0"/>
    <x v="1"/>
    <x v="17"/>
  </r>
  <r>
    <n v="548"/>
    <x v="23"/>
    <x v="0"/>
    <x v="0"/>
    <x v="0"/>
    <x v="23"/>
    <n v="0"/>
    <n v="1"/>
    <x v="1"/>
    <n v="2"/>
    <x v="13"/>
    <n v="0.1515"/>
    <x v="26"/>
    <n v="0.25369999999999998"/>
    <x v="0"/>
    <x v="144"/>
    <x v="108"/>
  </r>
  <r>
    <n v="549"/>
    <x v="24"/>
    <x v="0"/>
    <x v="0"/>
    <x v="0"/>
    <x v="0"/>
    <n v="0"/>
    <n v="2"/>
    <x v="1"/>
    <n v="2"/>
    <x v="13"/>
    <n v="0.13639999999999999"/>
    <x v="27"/>
    <n v="0.28360000000000002"/>
    <x v="0"/>
    <x v="8"/>
    <x v="23"/>
  </r>
  <r>
    <n v="550"/>
    <x v="24"/>
    <x v="0"/>
    <x v="0"/>
    <x v="0"/>
    <x v="1"/>
    <n v="0"/>
    <n v="2"/>
    <x v="1"/>
    <n v="2"/>
    <x v="13"/>
    <n v="0.16669999999999999"/>
    <x v="27"/>
    <n v="0.16420000000000001"/>
    <x v="3"/>
    <x v="34"/>
    <x v="36"/>
  </r>
  <r>
    <n v="551"/>
    <x v="24"/>
    <x v="0"/>
    <x v="0"/>
    <x v="0"/>
    <x v="2"/>
    <n v="0"/>
    <n v="2"/>
    <x v="1"/>
    <n v="1"/>
    <x v="13"/>
    <n v="0.1515"/>
    <x v="27"/>
    <n v="0.22389999999999999"/>
    <x v="3"/>
    <x v="6"/>
    <x v="5"/>
  </r>
  <r>
    <n v="552"/>
    <x v="24"/>
    <x v="0"/>
    <x v="0"/>
    <x v="0"/>
    <x v="4"/>
    <n v="0"/>
    <n v="2"/>
    <x v="1"/>
    <n v="1"/>
    <x v="14"/>
    <n v="0.16669999999999999"/>
    <x v="32"/>
    <n v="0.1045"/>
    <x v="3"/>
    <x v="4"/>
    <x v="4"/>
  </r>
  <r>
    <n v="553"/>
    <x v="24"/>
    <x v="0"/>
    <x v="0"/>
    <x v="0"/>
    <x v="5"/>
    <n v="0"/>
    <n v="2"/>
    <x v="1"/>
    <n v="1"/>
    <x v="14"/>
    <n v="0.13639999999999999"/>
    <x v="32"/>
    <n v="0.22389999999999999"/>
    <x v="3"/>
    <x v="33"/>
    <x v="23"/>
  </r>
  <r>
    <n v="554"/>
    <x v="24"/>
    <x v="0"/>
    <x v="0"/>
    <x v="0"/>
    <x v="6"/>
    <n v="0"/>
    <n v="2"/>
    <x v="1"/>
    <n v="1"/>
    <x v="13"/>
    <n v="0.18179999999999999"/>
    <x v="32"/>
    <n v="0.1045"/>
    <x v="5"/>
    <x v="96"/>
    <x v="9"/>
  </r>
  <r>
    <n v="555"/>
    <x v="24"/>
    <x v="0"/>
    <x v="0"/>
    <x v="0"/>
    <x v="7"/>
    <n v="0"/>
    <n v="2"/>
    <x v="1"/>
    <n v="1"/>
    <x v="13"/>
    <n v="0.1515"/>
    <x v="32"/>
    <n v="0.22389999999999999"/>
    <x v="2"/>
    <x v="145"/>
    <x v="159"/>
  </r>
  <r>
    <n v="556"/>
    <x v="24"/>
    <x v="0"/>
    <x v="0"/>
    <x v="0"/>
    <x v="8"/>
    <n v="0"/>
    <n v="2"/>
    <x v="1"/>
    <n v="2"/>
    <x v="13"/>
    <n v="0.18179999999999999"/>
    <x v="32"/>
    <n v="0.1343"/>
    <x v="2"/>
    <x v="146"/>
    <x v="160"/>
  </r>
  <r>
    <n v="557"/>
    <x v="24"/>
    <x v="0"/>
    <x v="0"/>
    <x v="0"/>
    <x v="9"/>
    <n v="0"/>
    <n v="2"/>
    <x v="1"/>
    <n v="2"/>
    <x v="2"/>
    <n v="0.2273"/>
    <x v="26"/>
    <n v="8.9599999999999999E-2"/>
    <x v="22"/>
    <x v="120"/>
    <x v="124"/>
  </r>
  <r>
    <n v="558"/>
    <x v="24"/>
    <x v="0"/>
    <x v="0"/>
    <x v="0"/>
    <x v="10"/>
    <n v="0"/>
    <n v="2"/>
    <x v="1"/>
    <n v="2"/>
    <x v="1"/>
    <n v="0.2424"/>
    <x v="54"/>
    <n v="0.1045"/>
    <x v="15"/>
    <x v="47"/>
    <x v="97"/>
  </r>
  <r>
    <n v="559"/>
    <x v="24"/>
    <x v="0"/>
    <x v="0"/>
    <x v="0"/>
    <x v="11"/>
    <n v="0"/>
    <n v="2"/>
    <x v="1"/>
    <n v="2"/>
    <x v="0"/>
    <n v="0.2424"/>
    <x v="54"/>
    <n v="0.1343"/>
    <x v="15"/>
    <x v="11"/>
    <x v="42"/>
  </r>
  <r>
    <n v="560"/>
    <x v="24"/>
    <x v="0"/>
    <x v="0"/>
    <x v="0"/>
    <x v="12"/>
    <n v="0"/>
    <n v="2"/>
    <x v="1"/>
    <n v="2"/>
    <x v="12"/>
    <n v="0.28789999999999999"/>
    <x v="34"/>
    <n v="8.9599999999999999E-2"/>
    <x v="27"/>
    <x v="66"/>
    <x v="13"/>
  </r>
  <r>
    <n v="561"/>
    <x v="24"/>
    <x v="0"/>
    <x v="0"/>
    <x v="0"/>
    <x v="13"/>
    <n v="0"/>
    <n v="2"/>
    <x v="1"/>
    <n v="2"/>
    <x v="12"/>
    <n v="0.2727"/>
    <x v="34"/>
    <n v="0.1343"/>
    <x v="27"/>
    <x v="109"/>
    <x v="15"/>
  </r>
  <r>
    <n v="562"/>
    <x v="24"/>
    <x v="0"/>
    <x v="0"/>
    <x v="0"/>
    <x v="14"/>
    <n v="0"/>
    <n v="2"/>
    <x v="1"/>
    <n v="2"/>
    <x v="11"/>
    <n v="0.33329999999999999"/>
    <x v="49"/>
    <n v="0"/>
    <x v="16"/>
    <x v="77"/>
    <x v="118"/>
  </r>
  <r>
    <n v="563"/>
    <x v="24"/>
    <x v="0"/>
    <x v="0"/>
    <x v="0"/>
    <x v="15"/>
    <n v="0"/>
    <n v="2"/>
    <x v="1"/>
    <n v="2"/>
    <x v="3"/>
    <n v="0.34849999999999998"/>
    <x v="16"/>
    <n v="0"/>
    <x v="27"/>
    <x v="36"/>
    <x v="11"/>
  </r>
  <r>
    <n v="564"/>
    <x v="24"/>
    <x v="0"/>
    <x v="0"/>
    <x v="0"/>
    <x v="16"/>
    <n v="0"/>
    <n v="2"/>
    <x v="1"/>
    <n v="2"/>
    <x v="3"/>
    <n v="0.34849999999999998"/>
    <x v="16"/>
    <n v="0"/>
    <x v="24"/>
    <x v="46"/>
    <x v="155"/>
  </r>
  <r>
    <n v="565"/>
    <x v="24"/>
    <x v="0"/>
    <x v="0"/>
    <x v="0"/>
    <x v="17"/>
    <n v="0"/>
    <n v="2"/>
    <x v="1"/>
    <n v="1"/>
    <x v="11"/>
    <n v="0.33329999999999999"/>
    <x v="49"/>
    <n v="0"/>
    <x v="24"/>
    <x v="147"/>
    <x v="161"/>
  </r>
  <r>
    <n v="566"/>
    <x v="24"/>
    <x v="0"/>
    <x v="0"/>
    <x v="0"/>
    <x v="18"/>
    <n v="0"/>
    <n v="2"/>
    <x v="1"/>
    <n v="2"/>
    <x v="11"/>
    <n v="0.31819999999999998"/>
    <x v="36"/>
    <n v="8.9599999999999999E-2"/>
    <x v="18"/>
    <x v="148"/>
    <x v="162"/>
  </r>
  <r>
    <n v="567"/>
    <x v="24"/>
    <x v="0"/>
    <x v="0"/>
    <x v="0"/>
    <x v="19"/>
    <n v="0"/>
    <n v="2"/>
    <x v="1"/>
    <n v="2"/>
    <x v="12"/>
    <n v="0.2576"/>
    <x v="55"/>
    <n v="0.16420000000000001"/>
    <x v="23"/>
    <x v="149"/>
    <x v="163"/>
  </r>
  <r>
    <n v="568"/>
    <x v="24"/>
    <x v="0"/>
    <x v="0"/>
    <x v="0"/>
    <x v="20"/>
    <n v="0"/>
    <n v="2"/>
    <x v="1"/>
    <n v="1"/>
    <x v="0"/>
    <n v="0.2273"/>
    <x v="55"/>
    <n v="0.19400000000000001"/>
    <x v="19"/>
    <x v="145"/>
    <x v="164"/>
  </r>
  <r>
    <n v="569"/>
    <x v="24"/>
    <x v="0"/>
    <x v="0"/>
    <x v="0"/>
    <x v="21"/>
    <n v="0"/>
    <n v="2"/>
    <x v="1"/>
    <n v="1"/>
    <x v="0"/>
    <n v="0.2273"/>
    <x v="55"/>
    <n v="0.19400000000000001"/>
    <x v="2"/>
    <x v="71"/>
    <x v="79"/>
  </r>
  <r>
    <n v="570"/>
    <x v="24"/>
    <x v="0"/>
    <x v="0"/>
    <x v="0"/>
    <x v="22"/>
    <n v="0"/>
    <n v="2"/>
    <x v="1"/>
    <n v="1"/>
    <x v="1"/>
    <n v="0.2273"/>
    <x v="26"/>
    <n v="0.16420000000000001"/>
    <x v="17"/>
    <x v="47"/>
    <x v="26"/>
  </r>
  <r>
    <n v="571"/>
    <x v="24"/>
    <x v="0"/>
    <x v="0"/>
    <x v="0"/>
    <x v="23"/>
    <n v="0"/>
    <n v="2"/>
    <x v="1"/>
    <n v="2"/>
    <x v="1"/>
    <n v="0.2273"/>
    <x v="26"/>
    <n v="0.16420000000000001"/>
    <x v="0"/>
    <x v="53"/>
    <x v="1"/>
  </r>
  <r>
    <n v="572"/>
    <x v="25"/>
    <x v="0"/>
    <x v="0"/>
    <x v="0"/>
    <x v="0"/>
    <n v="0"/>
    <n v="3"/>
    <x v="1"/>
    <n v="2"/>
    <x v="1"/>
    <n v="0.2273"/>
    <x v="27"/>
    <n v="0.1343"/>
    <x v="0"/>
    <x v="88"/>
    <x v="22"/>
  </r>
  <r>
    <n v="573"/>
    <x v="25"/>
    <x v="0"/>
    <x v="0"/>
    <x v="0"/>
    <x v="1"/>
    <n v="0"/>
    <n v="3"/>
    <x v="1"/>
    <n v="2"/>
    <x v="0"/>
    <n v="0.2424"/>
    <x v="55"/>
    <n v="0.1343"/>
    <x v="3"/>
    <x v="34"/>
    <x v="36"/>
  </r>
  <r>
    <n v="574"/>
    <x v="25"/>
    <x v="0"/>
    <x v="0"/>
    <x v="0"/>
    <x v="2"/>
    <n v="0"/>
    <n v="3"/>
    <x v="1"/>
    <n v="3"/>
    <x v="1"/>
    <n v="0.2273"/>
    <x v="27"/>
    <n v="0.19400000000000001"/>
    <x v="0"/>
    <x v="7"/>
    <x v="98"/>
  </r>
  <r>
    <n v="575"/>
    <x v="25"/>
    <x v="0"/>
    <x v="0"/>
    <x v="0"/>
    <x v="5"/>
    <n v="0"/>
    <n v="3"/>
    <x v="1"/>
    <n v="3"/>
    <x v="2"/>
    <n v="0.18179999999999999"/>
    <x v="3"/>
    <n v="0.28360000000000002"/>
    <x v="3"/>
    <x v="4"/>
    <x v="4"/>
  </r>
  <r>
    <n v="576"/>
    <x v="25"/>
    <x v="0"/>
    <x v="0"/>
    <x v="0"/>
    <x v="6"/>
    <n v="0"/>
    <n v="3"/>
    <x v="1"/>
    <n v="3"/>
    <x v="2"/>
    <n v="0.18179999999999999"/>
    <x v="3"/>
    <n v="0.28360000000000002"/>
    <x v="3"/>
    <x v="21"/>
    <x v="7"/>
  </r>
  <r>
    <n v="577"/>
    <x v="25"/>
    <x v="0"/>
    <x v="0"/>
    <x v="0"/>
    <x v="7"/>
    <n v="0"/>
    <n v="3"/>
    <x v="1"/>
    <n v="3"/>
    <x v="1"/>
    <n v="0.21210000000000001"/>
    <x v="9"/>
    <n v="0.29849999999999999"/>
    <x v="5"/>
    <x v="31"/>
    <x v="33"/>
  </r>
  <r>
    <n v="578"/>
    <x v="25"/>
    <x v="0"/>
    <x v="0"/>
    <x v="0"/>
    <x v="8"/>
    <n v="0"/>
    <n v="3"/>
    <x v="1"/>
    <n v="3"/>
    <x v="1"/>
    <n v="0.21210000000000001"/>
    <x v="9"/>
    <n v="0.29849999999999999"/>
    <x v="0"/>
    <x v="94"/>
    <x v="44"/>
  </r>
  <r>
    <n v="579"/>
    <x v="25"/>
    <x v="0"/>
    <x v="0"/>
    <x v="0"/>
    <x v="9"/>
    <n v="0"/>
    <n v="3"/>
    <x v="1"/>
    <n v="3"/>
    <x v="1"/>
    <n v="0.21210000000000001"/>
    <x v="9"/>
    <n v="0.29849999999999999"/>
    <x v="0"/>
    <x v="11"/>
    <x v="154"/>
  </r>
  <r>
    <n v="580"/>
    <x v="25"/>
    <x v="0"/>
    <x v="0"/>
    <x v="0"/>
    <x v="10"/>
    <n v="0"/>
    <n v="3"/>
    <x v="1"/>
    <n v="3"/>
    <x v="1"/>
    <n v="0.21210000000000001"/>
    <x v="43"/>
    <n v="0.28360000000000002"/>
    <x v="4"/>
    <x v="16"/>
    <x v="20"/>
  </r>
  <r>
    <n v="581"/>
    <x v="25"/>
    <x v="0"/>
    <x v="0"/>
    <x v="0"/>
    <x v="11"/>
    <n v="0"/>
    <n v="3"/>
    <x v="1"/>
    <n v="3"/>
    <x v="1"/>
    <n v="0.19700000000000001"/>
    <x v="43"/>
    <n v="0.32840000000000003"/>
    <x v="15"/>
    <x v="96"/>
    <x v="102"/>
  </r>
  <r>
    <n v="582"/>
    <x v="25"/>
    <x v="0"/>
    <x v="0"/>
    <x v="0"/>
    <x v="12"/>
    <n v="0"/>
    <n v="3"/>
    <x v="1"/>
    <n v="3"/>
    <x v="1"/>
    <n v="0.19700000000000001"/>
    <x v="43"/>
    <n v="0.32840000000000003"/>
    <x v="18"/>
    <x v="40"/>
    <x v="61"/>
  </r>
  <r>
    <n v="583"/>
    <x v="25"/>
    <x v="0"/>
    <x v="0"/>
    <x v="0"/>
    <x v="13"/>
    <n v="0"/>
    <n v="3"/>
    <x v="1"/>
    <n v="3"/>
    <x v="1"/>
    <n v="0.19700000000000001"/>
    <x v="43"/>
    <n v="0.32840000000000003"/>
    <x v="17"/>
    <x v="30"/>
    <x v="105"/>
  </r>
  <r>
    <n v="584"/>
    <x v="25"/>
    <x v="0"/>
    <x v="0"/>
    <x v="0"/>
    <x v="14"/>
    <n v="0"/>
    <n v="3"/>
    <x v="1"/>
    <n v="3"/>
    <x v="1"/>
    <n v="0.19700000000000001"/>
    <x v="43"/>
    <n v="0.35820000000000002"/>
    <x v="3"/>
    <x v="49"/>
    <x v="9"/>
  </r>
  <r>
    <n v="585"/>
    <x v="25"/>
    <x v="0"/>
    <x v="0"/>
    <x v="0"/>
    <x v="15"/>
    <n v="0"/>
    <n v="3"/>
    <x v="1"/>
    <n v="3"/>
    <x v="1"/>
    <n v="0.18179999999999999"/>
    <x v="43"/>
    <n v="0.4627"/>
    <x v="5"/>
    <x v="76"/>
    <x v="74"/>
  </r>
  <r>
    <n v="586"/>
    <x v="25"/>
    <x v="0"/>
    <x v="0"/>
    <x v="0"/>
    <x v="16"/>
    <n v="0"/>
    <n v="3"/>
    <x v="1"/>
    <n v="4"/>
    <x v="1"/>
    <n v="0.19700000000000001"/>
    <x v="43"/>
    <n v="0.32840000000000003"/>
    <x v="5"/>
    <x v="96"/>
    <x v="9"/>
  </r>
  <r>
    <n v="587"/>
    <x v="25"/>
    <x v="0"/>
    <x v="0"/>
    <x v="0"/>
    <x v="17"/>
    <n v="0"/>
    <n v="3"/>
    <x v="1"/>
    <n v="3"/>
    <x v="2"/>
    <n v="0.18179999999999999"/>
    <x v="43"/>
    <n v="0.35820000000000002"/>
    <x v="3"/>
    <x v="16"/>
    <x v="132"/>
  </r>
  <r>
    <n v="588"/>
    <x v="26"/>
    <x v="0"/>
    <x v="0"/>
    <x v="0"/>
    <x v="16"/>
    <n v="0"/>
    <n v="4"/>
    <x v="1"/>
    <n v="1"/>
    <x v="1"/>
    <n v="0.2273"/>
    <x v="28"/>
    <n v="0.19400000000000001"/>
    <x v="5"/>
    <x v="140"/>
    <x v="108"/>
  </r>
  <r>
    <n v="589"/>
    <x v="26"/>
    <x v="0"/>
    <x v="0"/>
    <x v="0"/>
    <x v="17"/>
    <n v="0"/>
    <n v="4"/>
    <x v="1"/>
    <n v="1"/>
    <x v="1"/>
    <n v="0.2424"/>
    <x v="28"/>
    <n v="0.1045"/>
    <x v="4"/>
    <x v="70"/>
    <x v="11"/>
  </r>
  <r>
    <n v="590"/>
    <x v="26"/>
    <x v="0"/>
    <x v="0"/>
    <x v="0"/>
    <x v="18"/>
    <n v="0"/>
    <n v="4"/>
    <x v="1"/>
    <n v="1"/>
    <x v="2"/>
    <n v="0.2273"/>
    <x v="27"/>
    <n v="8.9599999999999999E-2"/>
    <x v="0"/>
    <x v="143"/>
    <x v="133"/>
  </r>
  <r>
    <n v="591"/>
    <x v="26"/>
    <x v="0"/>
    <x v="0"/>
    <x v="0"/>
    <x v="19"/>
    <n v="0"/>
    <n v="4"/>
    <x v="1"/>
    <n v="1"/>
    <x v="2"/>
    <n v="0.2273"/>
    <x v="27"/>
    <n v="8.9599999999999999E-2"/>
    <x v="0"/>
    <x v="83"/>
    <x v="67"/>
  </r>
  <r>
    <n v="592"/>
    <x v="26"/>
    <x v="0"/>
    <x v="0"/>
    <x v="0"/>
    <x v="20"/>
    <n v="0"/>
    <n v="4"/>
    <x v="1"/>
    <n v="1"/>
    <x v="15"/>
    <n v="0.21210000000000001"/>
    <x v="32"/>
    <n v="8.9599999999999999E-2"/>
    <x v="17"/>
    <x v="11"/>
    <x v="29"/>
  </r>
  <r>
    <n v="593"/>
    <x v="26"/>
    <x v="0"/>
    <x v="0"/>
    <x v="0"/>
    <x v="21"/>
    <n v="0"/>
    <n v="4"/>
    <x v="1"/>
    <n v="1"/>
    <x v="15"/>
    <n v="0.21210000000000001"/>
    <x v="32"/>
    <n v="8.9599999999999999E-2"/>
    <x v="4"/>
    <x v="49"/>
    <x v="103"/>
  </r>
  <r>
    <n v="594"/>
    <x v="26"/>
    <x v="0"/>
    <x v="0"/>
    <x v="0"/>
    <x v="22"/>
    <n v="0"/>
    <n v="4"/>
    <x v="1"/>
    <n v="1"/>
    <x v="15"/>
    <n v="0.21210000000000001"/>
    <x v="32"/>
    <n v="8.9599999999999999E-2"/>
    <x v="3"/>
    <x v="2"/>
    <x v="110"/>
  </r>
  <r>
    <n v="595"/>
    <x v="26"/>
    <x v="0"/>
    <x v="0"/>
    <x v="0"/>
    <x v="23"/>
    <n v="0"/>
    <n v="4"/>
    <x v="1"/>
    <n v="1"/>
    <x v="15"/>
    <n v="0.19700000000000001"/>
    <x v="1"/>
    <n v="0.16420000000000001"/>
    <x v="3"/>
    <x v="20"/>
    <x v="0"/>
  </r>
  <r>
    <n v="596"/>
    <x v="27"/>
    <x v="0"/>
    <x v="0"/>
    <x v="0"/>
    <x v="0"/>
    <n v="0"/>
    <n v="5"/>
    <x v="1"/>
    <n v="2"/>
    <x v="2"/>
    <n v="0.21210000000000001"/>
    <x v="2"/>
    <n v="0.1343"/>
    <x v="3"/>
    <x v="33"/>
    <x v="23"/>
  </r>
  <r>
    <n v="597"/>
    <x v="27"/>
    <x v="0"/>
    <x v="0"/>
    <x v="0"/>
    <x v="1"/>
    <n v="0"/>
    <n v="5"/>
    <x v="1"/>
    <n v="2"/>
    <x v="2"/>
    <n v="0.21210000000000001"/>
    <x v="2"/>
    <n v="0.1343"/>
    <x v="5"/>
    <x v="6"/>
    <x v="6"/>
  </r>
  <r>
    <n v="598"/>
    <x v="27"/>
    <x v="0"/>
    <x v="0"/>
    <x v="0"/>
    <x v="2"/>
    <n v="0"/>
    <n v="5"/>
    <x v="1"/>
    <n v="2"/>
    <x v="2"/>
    <n v="0.21210000000000001"/>
    <x v="2"/>
    <n v="0.16420000000000001"/>
    <x v="3"/>
    <x v="6"/>
    <x v="5"/>
  </r>
  <r>
    <n v="599"/>
    <x v="27"/>
    <x v="0"/>
    <x v="0"/>
    <x v="0"/>
    <x v="3"/>
    <n v="0"/>
    <n v="5"/>
    <x v="1"/>
    <n v="2"/>
    <x v="2"/>
    <n v="0.2273"/>
    <x v="2"/>
    <n v="0.1045"/>
    <x v="5"/>
    <x v="5"/>
    <x v="4"/>
  </r>
  <r>
    <n v="600"/>
    <x v="27"/>
    <x v="0"/>
    <x v="0"/>
    <x v="0"/>
    <x v="5"/>
    <n v="0"/>
    <n v="5"/>
    <x v="1"/>
    <n v="2"/>
    <x v="15"/>
    <n v="0.21210000000000001"/>
    <x v="1"/>
    <n v="0.1045"/>
    <x v="3"/>
    <x v="22"/>
    <x v="48"/>
  </r>
  <r>
    <n v="601"/>
    <x v="27"/>
    <x v="0"/>
    <x v="0"/>
    <x v="0"/>
    <x v="6"/>
    <n v="0"/>
    <n v="5"/>
    <x v="1"/>
    <n v="2"/>
    <x v="15"/>
    <n v="0.19700000000000001"/>
    <x v="1"/>
    <n v="0.1343"/>
    <x v="3"/>
    <x v="20"/>
    <x v="0"/>
  </r>
  <r>
    <n v="602"/>
    <x v="27"/>
    <x v="0"/>
    <x v="0"/>
    <x v="0"/>
    <x v="7"/>
    <n v="0"/>
    <n v="5"/>
    <x v="1"/>
    <n v="2"/>
    <x v="13"/>
    <n v="0.19700000000000001"/>
    <x v="3"/>
    <n v="8.9599999999999999E-2"/>
    <x v="4"/>
    <x v="29"/>
    <x v="122"/>
  </r>
  <r>
    <n v="603"/>
    <x v="27"/>
    <x v="0"/>
    <x v="0"/>
    <x v="0"/>
    <x v="8"/>
    <n v="0"/>
    <n v="5"/>
    <x v="1"/>
    <n v="2"/>
    <x v="13"/>
    <n v="0.19700000000000001"/>
    <x v="3"/>
    <n v="8.9599999999999999E-2"/>
    <x v="4"/>
    <x v="119"/>
    <x v="45"/>
  </r>
  <r>
    <n v="604"/>
    <x v="27"/>
    <x v="0"/>
    <x v="0"/>
    <x v="0"/>
    <x v="9"/>
    <n v="0"/>
    <n v="5"/>
    <x v="1"/>
    <n v="3"/>
    <x v="15"/>
    <n v="0.21210000000000001"/>
    <x v="3"/>
    <n v="8.9599999999999999E-2"/>
    <x v="15"/>
    <x v="73"/>
    <x v="129"/>
  </r>
  <r>
    <n v="605"/>
    <x v="27"/>
    <x v="0"/>
    <x v="0"/>
    <x v="0"/>
    <x v="10"/>
    <n v="0"/>
    <n v="5"/>
    <x v="1"/>
    <n v="3"/>
    <x v="15"/>
    <n v="0.21210000000000001"/>
    <x v="3"/>
    <n v="0.1045"/>
    <x v="3"/>
    <x v="47"/>
    <x v="99"/>
  </r>
  <r>
    <n v="606"/>
    <x v="27"/>
    <x v="0"/>
    <x v="0"/>
    <x v="0"/>
    <x v="11"/>
    <n v="0"/>
    <n v="5"/>
    <x v="1"/>
    <n v="3"/>
    <x v="15"/>
    <n v="0.21210000000000001"/>
    <x v="43"/>
    <n v="0.1045"/>
    <x v="3"/>
    <x v="10"/>
    <x v="33"/>
  </r>
  <r>
    <n v="607"/>
    <x v="27"/>
    <x v="0"/>
    <x v="0"/>
    <x v="0"/>
    <x v="12"/>
    <n v="0"/>
    <n v="5"/>
    <x v="1"/>
    <n v="3"/>
    <x v="15"/>
    <n v="0.21210000000000001"/>
    <x v="43"/>
    <n v="0.1045"/>
    <x v="5"/>
    <x v="95"/>
    <x v="115"/>
  </r>
  <r>
    <n v="608"/>
    <x v="27"/>
    <x v="0"/>
    <x v="0"/>
    <x v="0"/>
    <x v="13"/>
    <n v="0"/>
    <n v="5"/>
    <x v="1"/>
    <n v="3"/>
    <x v="15"/>
    <n v="0.21210000000000001"/>
    <x v="43"/>
    <n v="0.1045"/>
    <x v="3"/>
    <x v="17"/>
    <x v="35"/>
  </r>
  <r>
    <n v="609"/>
    <x v="27"/>
    <x v="0"/>
    <x v="0"/>
    <x v="0"/>
    <x v="14"/>
    <n v="0"/>
    <n v="5"/>
    <x v="1"/>
    <n v="3"/>
    <x v="1"/>
    <n v="0.2727"/>
    <x v="1"/>
    <n v="0"/>
    <x v="4"/>
    <x v="49"/>
    <x v="103"/>
  </r>
  <r>
    <n v="610"/>
    <x v="27"/>
    <x v="0"/>
    <x v="0"/>
    <x v="0"/>
    <x v="15"/>
    <n v="0"/>
    <n v="5"/>
    <x v="1"/>
    <n v="2"/>
    <x v="2"/>
    <n v="0.2576"/>
    <x v="3"/>
    <n v="0"/>
    <x v="5"/>
    <x v="71"/>
    <x v="102"/>
  </r>
  <r>
    <n v="611"/>
    <x v="27"/>
    <x v="0"/>
    <x v="0"/>
    <x v="0"/>
    <x v="16"/>
    <n v="0"/>
    <n v="5"/>
    <x v="1"/>
    <n v="1"/>
    <x v="1"/>
    <n v="0.2727"/>
    <x v="1"/>
    <n v="0"/>
    <x v="22"/>
    <x v="14"/>
    <x v="138"/>
  </r>
  <r>
    <n v="612"/>
    <x v="27"/>
    <x v="0"/>
    <x v="0"/>
    <x v="0"/>
    <x v="17"/>
    <n v="0"/>
    <n v="5"/>
    <x v="1"/>
    <n v="1"/>
    <x v="0"/>
    <n v="0.2424"/>
    <x v="2"/>
    <n v="0.1343"/>
    <x v="4"/>
    <x v="150"/>
    <x v="165"/>
  </r>
  <r>
    <n v="613"/>
    <x v="27"/>
    <x v="0"/>
    <x v="0"/>
    <x v="0"/>
    <x v="18"/>
    <n v="0"/>
    <n v="5"/>
    <x v="1"/>
    <n v="1"/>
    <x v="0"/>
    <n v="0.2273"/>
    <x v="2"/>
    <n v="0.19400000000000001"/>
    <x v="4"/>
    <x v="128"/>
    <x v="142"/>
  </r>
  <r>
    <n v="614"/>
    <x v="27"/>
    <x v="0"/>
    <x v="0"/>
    <x v="0"/>
    <x v="19"/>
    <n v="0"/>
    <n v="5"/>
    <x v="1"/>
    <n v="2"/>
    <x v="0"/>
    <n v="0.2424"/>
    <x v="2"/>
    <n v="0.1343"/>
    <x v="2"/>
    <x v="151"/>
    <x v="70"/>
  </r>
  <r>
    <n v="615"/>
    <x v="27"/>
    <x v="0"/>
    <x v="0"/>
    <x v="0"/>
    <x v="20"/>
    <n v="0"/>
    <n v="5"/>
    <x v="1"/>
    <n v="2"/>
    <x v="0"/>
    <n v="0.2273"/>
    <x v="56"/>
    <n v="0.19400000000000001"/>
    <x v="5"/>
    <x v="124"/>
    <x v="69"/>
  </r>
  <r>
    <n v="616"/>
    <x v="27"/>
    <x v="0"/>
    <x v="0"/>
    <x v="0"/>
    <x v="21"/>
    <n v="0"/>
    <n v="5"/>
    <x v="1"/>
    <n v="2"/>
    <x v="1"/>
    <n v="0.2273"/>
    <x v="2"/>
    <n v="0.1343"/>
    <x v="5"/>
    <x v="77"/>
    <x v="154"/>
  </r>
  <r>
    <n v="617"/>
    <x v="27"/>
    <x v="0"/>
    <x v="0"/>
    <x v="0"/>
    <x v="22"/>
    <n v="0"/>
    <n v="5"/>
    <x v="1"/>
    <n v="1"/>
    <x v="0"/>
    <n v="0.21210000000000001"/>
    <x v="55"/>
    <n v="0.35820000000000002"/>
    <x v="3"/>
    <x v="16"/>
    <x v="132"/>
  </r>
  <r>
    <n v="618"/>
    <x v="27"/>
    <x v="0"/>
    <x v="0"/>
    <x v="0"/>
    <x v="23"/>
    <n v="0"/>
    <n v="5"/>
    <x v="1"/>
    <n v="1"/>
    <x v="0"/>
    <n v="0.2273"/>
    <x v="54"/>
    <n v="0.22389999999999999"/>
    <x v="5"/>
    <x v="97"/>
    <x v="84"/>
  </r>
  <r>
    <n v="619"/>
    <x v="28"/>
    <x v="0"/>
    <x v="0"/>
    <x v="0"/>
    <x v="0"/>
    <n v="0"/>
    <n v="6"/>
    <x v="0"/>
    <n v="1"/>
    <x v="1"/>
    <n v="0.19700000000000001"/>
    <x v="26"/>
    <n v="0.35820000000000002"/>
    <x v="4"/>
    <x v="16"/>
    <x v="20"/>
  </r>
  <r>
    <n v="620"/>
    <x v="28"/>
    <x v="0"/>
    <x v="0"/>
    <x v="0"/>
    <x v="1"/>
    <n v="0"/>
    <n v="6"/>
    <x v="0"/>
    <n v="1"/>
    <x v="1"/>
    <n v="0.2273"/>
    <x v="26"/>
    <n v="0.19400000000000001"/>
    <x v="3"/>
    <x v="32"/>
    <x v="25"/>
  </r>
  <r>
    <n v="621"/>
    <x v="28"/>
    <x v="0"/>
    <x v="0"/>
    <x v="0"/>
    <x v="2"/>
    <n v="0"/>
    <n v="6"/>
    <x v="0"/>
    <n v="1"/>
    <x v="1"/>
    <n v="0.2273"/>
    <x v="26"/>
    <n v="0.16420000000000001"/>
    <x v="3"/>
    <x v="89"/>
    <x v="93"/>
  </r>
  <r>
    <n v="622"/>
    <x v="28"/>
    <x v="0"/>
    <x v="0"/>
    <x v="0"/>
    <x v="3"/>
    <n v="0"/>
    <n v="6"/>
    <x v="0"/>
    <n v="1"/>
    <x v="2"/>
    <n v="0.21210000000000001"/>
    <x v="26"/>
    <n v="0.1343"/>
    <x v="0"/>
    <x v="34"/>
    <x v="7"/>
  </r>
  <r>
    <n v="623"/>
    <x v="28"/>
    <x v="0"/>
    <x v="0"/>
    <x v="0"/>
    <x v="4"/>
    <n v="0"/>
    <n v="6"/>
    <x v="0"/>
    <n v="1"/>
    <x v="13"/>
    <n v="0.18179999999999999"/>
    <x v="27"/>
    <n v="0.1045"/>
    <x v="5"/>
    <x v="6"/>
    <x v="6"/>
  </r>
  <r>
    <n v="624"/>
    <x v="28"/>
    <x v="0"/>
    <x v="0"/>
    <x v="0"/>
    <x v="6"/>
    <n v="0"/>
    <n v="6"/>
    <x v="0"/>
    <n v="1"/>
    <x v="13"/>
    <n v="0.18179999999999999"/>
    <x v="26"/>
    <n v="0.1343"/>
    <x v="3"/>
    <x v="6"/>
    <x v="5"/>
  </r>
  <r>
    <n v="625"/>
    <x v="28"/>
    <x v="0"/>
    <x v="0"/>
    <x v="0"/>
    <x v="7"/>
    <n v="0"/>
    <n v="6"/>
    <x v="0"/>
    <n v="1"/>
    <x v="13"/>
    <n v="0.18179999999999999"/>
    <x v="29"/>
    <n v="0.1045"/>
    <x v="5"/>
    <x v="22"/>
    <x v="36"/>
  </r>
  <r>
    <n v="626"/>
    <x v="28"/>
    <x v="0"/>
    <x v="0"/>
    <x v="0"/>
    <x v="8"/>
    <n v="0"/>
    <n v="6"/>
    <x v="0"/>
    <n v="1"/>
    <x v="15"/>
    <n v="0.19700000000000001"/>
    <x v="28"/>
    <n v="0.16420000000000001"/>
    <x v="0"/>
    <x v="17"/>
    <x v="19"/>
  </r>
  <r>
    <n v="627"/>
    <x v="28"/>
    <x v="0"/>
    <x v="0"/>
    <x v="0"/>
    <x v="9"/>
    <n v="0"/>
    <n v="6"/>
    <x v="0"/>
    <n v="1"/>
    <x v="15"/>
    <n v="0.21210000000000001"/>
    <x v="29"/>
    <n v="8.9599999999999999E-2"/>
    <x v="3"/>
    <x v="60"/>
    <x v="19"/>
  </r>
  <r>
    <n v="628"/>
    <x v="28"/>
    <x v="0"/>
    <x v="0"/>
    <x v="0"/>
    <x v="10"/>
    <n v="0"/>
    <n v="6"/>
    <x v="0"/>
    <n v="2"/>
    <x v="15"/>
    <n v="0.21210000000000001"/>
    <x v="26"/>
    <n v="0.1045"/>
    <x v="17"/>
    <x v="82"/>
    <x v="97"/>
  </r>
  <r>
    <n v="629"/>
    <x v="28"/>
    <x v="0"/>
    <x v="0"/>
    <x v="0"/>
    <x v="11"/>
    <n v="0"/>
    <n v="6"/>
    <x v="0"/>
    <n v="2"/>
    <x v="15"/>
    <n v="0.19700000000000001"/>
    <x v="26"/>
    <n v="0.1343"/>
    <x v="17"/>
    <x v="91"/>
    <x v="37"/>
  </r>
  <r>
    <n v="630"/>
    <x v="28"/>
    <x v="0"/>
    <x v="0"/>
    <x v="0"/>
    <x v="12"/>
    <n v="0"/>
    <n v="6"/>
    <x v="0"/>
    <n v="2"/>
    <x v="2"/>
    <n v="0.19700000000000001"/>
    <x v="29"/>
    <n v="0.19400000000000001"/>
    <x v="6"/>
    <x v="43"/>
    <x v="53"/>
  </r>
  <r>
    <n v="631"/>
    <x v="28"/>
    <x v="0"/>
    <x v="0"/>
    <x v="0"/>
    <x v="13"/>
    <n v="0"/>
    <n v="6"/>
    <x v="0"/>
    <n v="2"/>
    <x v="1"/>
    <n v="0.2273"/>
    <x v="28"/>
    <n v="0.16420000000000001"/>
    <x v="14"/>
    <x v="90"/>
    <x v="32"/>
  </r>
  <r>
    <n v="632"/>
    <x v="28"/>
    <x v="0"/>
    <x v="0"/>
    <x v="0"/>
    <x v="14"/>
    <n v="0"/>
    <n v="6"/>
    <x v="0"/>
    <n v="2"/>
    <x v="1"/>
    <n v="0.2273"/>
    <x v="54"/>
    <n v="0.1343"/>
    <x v="22"/>
    <x v="121"/>
    <x v="111"/>
  </r>
  <r>
    <n v="633"/>
    <x v="28"/>
    <x v="0"/>
    <x v="0"/>
    <x v="0"/>
    <x v="15"/>
    <n v="0"/>
    <n v="6"/>
    <x v="0"/>
    <n v="1"/>
    <x v="1"/>
    <n v="0.21210000000000001"/>
    <x v="27"/>
    <n v="0.25369999999999998"/>
    <x v="30"/>
    <x v="52"/>
    <x v="151"/>
  </r>
  <r>
    <n v="634"/>
    <x v="28"/>
    <x v="0"/>
    <x v="0"/>
    <x v="0"/>
    <x v="16"/>
    <n v="0"/>
    <n v="6"/>
    <x v="0"/>
    <n v="1"/>
    <x v="0"/>
    <n v="0.2424"/>
    <x v="54"/>
    <n v="0.16420000000000001"/>
    <x v="21"/>
    <x v="152"/>
    <x v="166"/>
  </r>
  <r>
    <n v="635"/>
    <x v="28"/>
    <x v="0"/>
    <x v="0"/>
    <x v="0"/>
    <x v="17"/>
    <n v="0"/>
    <n v="6"/>
    <x v="0"/>
    <n v="1"/>
    <x v="0"/>
    <n v="0.28789999999999999"/>
    <x v="54"/>
    <n v="0"/>
    <x v="14"/>
    <x v="70"/>
    <x v="134"/>
  </r>
  <r>
    <n v="636"/>
    <x v="28"/>
    <x v="0"/>
    <x v="0"/>
    <x v="0"/>
    <x v="18"/>
    <n v="0"/>
    <n v="6"/>
    <x v="0"/>
    <n v="1"/>
    <x v="1"/>
    <n v="0.2273"/>
    <x v="27"/>
    <n v="0.1343"/>
    <x v="14"/>
    <x v="79"/>
    <x v="118"/>
  </r>
  <r>
    <n v="637"/>
    <x v="28"/>
    <x v="0"/>
    <x v="0"/>
    <x v="0"/>
    <x v="19"/>
    <n v="0"/>
    <n v="6"/>
    <x v="0"/>
    <n v="2"/>
    <x v="1"/>
    <n v="0.21210000000000001"/>
    <x v="27"/>
    <n v="0.25369999999999998"/>
    <x v="15"/>
    <x v="15"/>
    <x v="154"/>
  </r>
  <r>
    <n v="638"/>
    <x v="28"/>
    <x v="0"/>
    <x v="0"/>
    <x v="0"/>
    <x v="20"/>
    <n v="0"/>
    <n v="6"/>
    <x v="0"/>
    <n v="1"/>
    <x v="15"/>
    <n v="0.21210000000000001"/>
    <x v="32"/>
    <n v="8.9599999999999999E-2"/>
    <x v="5"/>
    <x v="76"/>
    <x v="74"/>
  </r>
  <r>
    <n v="639"/>
    <x v="28"/>
    <x v="0"/>
    <x v="0"/>
    <x v="0"/>
    <x v="21"/>
    <n v="0"/>
    <n v="6"/>
    <x v="0"/>
    <n v="1"/>
    <x v="15"/>
    <n v="0.21210000000000001"/>
    <x v="32"/>
    <n v="8.9599999999999999E-2"/>
    <x v="5"/>
    <x v="96"/>
    <x v="9"/>
  </r>
  <r>
    <n v="640"/>
    <x v="28"/>
    <x v="0"/>
    <x v="0"/>
    <x v="0"/>
    <x v="22"/>
    <n v="0"/>
    <n v="6"/>
    <x v="0"/>
    <n v="1"/>
    <x v="13"/>
    <n v="0.19700000000000001"/>
    <x v="1"/>
    <n v="8.9599999999999999E-2"/>
    <x v="17"/>
    <x v="95"/>
    <x v="2"/>
  </r>
  <r>
    <n v="641"/>
    <x v="28"/>
    <x v="0"/>
    <x v="0"/>
    <x v="0"/>
    <x v="23"/>
    <n v="0"/>
    <n v="6"/>
    <x v="0"/>
    <n v="1"/>
    <x v="13"/>
    <n v="0.19700000000000001"/>
    <x v="1"/>
    <n v="8.9599999999999999E-2"/>
    <x v="0"/>
    <x v="10"/>
    <x v="63"/>
  </r>
  <r>
    <n v="642"/>
    <x v="29"/>
    <x v="0"/>
    <x v="0"/>
    <x v="0"/>
    <x v="0"/>
    <n v="0"/>
    <n v="0"/>
    <x v="0"/>
    <n v="1"/>
    <x v="13"/>
    <n v="0.18179999999999999"/>
    <x v="1"/>
    <n v="0.1045"/>
    <x v="3"/>
    <x v="39"/>
    <x v="63"/>
  </r>
  <r>
    <n v="643"/>
    <x v="29"/>
    <x v="0"/>
    <x v="0"/>
    <x v="0"/>
    <x v="1"/>
    <n v="0"/>
    <n v="0"/>
    <x v="0"/>
    <n v="1"/>
    <x v="14"/>
    <n v="0.21210000000000001"/>
    <x v="1"/>
    <n v="0"/>
    <x v="18"/>
    <x v="97"/>
    <x v="115"/>
  </r>
  <r>
    <n v="644"/>
    <x v="29"/>
    <x v="0"/>
    <x v="0"/>
    <x v="0"/>
    <x v="2"/>
    <n v="0"/>
    <n v="0"/>
    <x v="0"/>
    <n v="1"/>
    <x v="13"/>
    <n v="0.2273"/>
    <x v="1"/>
    <n v="0"/>
    <x v="5"/>
    <x v="3"/>
    <x v="62"/>
  </r>
  <r>
    <n v="645"/>
    <x v="29"/>
    <x v="0"/>
    <x v="0"/>
    <x v="0"/>
    <x v="3"/>
    <n v="0"/>
    <n v="0"/>
    <x v="0"/>
    <n v="1"/>
    <x v="14"/>
    <n v="0.21210000000000001"/>
    <x v="43"/>
    <n v="0"/>
    <x v="5"/>
    <x v="7"/>
    <x v="7"/>
  </r>
  <r>
    <n v="646"/>
    <x v="29"/>
    <x v="0"/>
    <x v="0"/>
    <x v="0"/>
    <x v="4"/>
    <n v="0"/>
    <n v="0"/>
    <x v="0"/>
    <n v="1"/>
    <x v="14"/>
    <n v="0.21210000000000001"/>
    <x v="43"/>
    <n v="0"/>
    <x v="3"/>
    <x v="4"/>
    <x v="4"/>
  </r>
  <r>
    <n v="647"/>
    <x v="29"/>
    <x v="0"/>
    <x v="0"/>
    <x v="0"/>
    <x v="5"/>
    <n v="0"/>
    <n v="0"/>
    <x v="0"/>
    <n v="1"/>
    <x v="14"/>
    <n v="0.21210000000000001"/>
    <x v="3"/>
    <n v="0"/>
    <x v="3"/>
    <x v="35"/>
    <x v="6"/>
  </r>
  <r>
    <n v="648"/>
    <x v="29"/>
    <x v="0"/>
    <x v="0"/>
    <x v="0"/>
    <x v="7"/>
    <n v="0"/>
    <n v="0"/>
    <x v="0"/>
    <n v="1"/>
    <x v="14"/>
    <n v="0.21210000000000001"/>
    <x v="3"/>
    <n v="0"/>
    <x v="3"/>
    <x v="35"/>
    <x v="6"/>
  </r>
  <r>
    <n v="649"/>
    <x v="29"/>
    <x v="0"/>
    <x v="0"/>
    <x v="0"/>
    <x v="8"/>
    <n v="0"/>
    <n v="0"/>
    <x v="0"/>
    <n v="2"/>
    <x v="14"/>
    <n v="0.21210000000000001"/>
    <x v="3"/>
    <n v="0"/>
    <x v="5"/>
    <x v="48"/>
    <x v="47"/>
  </r>
  <r>
    <n v="650"/>
    <x v="29"/>
    <x v="0"/>
    <x v="0"/>
    <x v="0"/>
    <x v="9"/>
    <n v="0"/>
    <n v="0"/>
    <x v="0"/>
    <n v="2"/>
    <x v="13"/>
    <n v="0.2273"/>
    <x v="1"/>
    <n v="0"/>
    <x v="17"/>
    <x v="60"/>
    <x v="103"/>
  </r>
  <r>
    <n v="651"/>
    <x v="29"/>
    <x v="0"/>
    <x v="0"/>
    <x v="0"/>
    <x v="10"/>
    <n v="0"/>
    <n v="0"/>
    <x v="0"/>
    <n v="2"/>
    <x v="15"/>
    <n v="0.2424"/>
    <x v="1"/>
    <n v="0"/>
    <x v="18"/>
    <x v="77"/>
    <x v="37"/>
  </r>
  <r>
    <n v="652"/>
    <x v="29"/>
    <x v="0"/>
    <x v="0"/>
    <x v="0"/>
    <x v="11"/>
    <n v="0"/>
    <n v="0"/>
    <x v="0"/>
    <n v="1"/>
    <x v="1"/>
    <n v="0.2727"/>
    <x v="2"/>
    <n v="0"/>
    <x v="14"/>
    <x v="54"/>
    <x v="29"/>
  </r>
  <r>
    <n v="653"/>
    <x v="29"/>
    <x v="0"/>
    <x v="0"/>
    <x v="0"/>
    <x v="12"/>
    <n v="0"/>
    <n v="0"/>
    <x v="0"/>
    <n v="1"/>
    <x v="11"/>
    <n v="0.31819999999999998"/>
    <x v="35"/>
    <n v="0.1045"/>
    <x v="22"/>
    <x v="61"/>
    <x v="54"/>
  </r>
  <r>
    <n v="654"/>
    <x v="29"/>
    <x v="0"/>
    <x v="0"/>
    <x v="0"/>
    <x v="13"/>
    <n v="0"/>
    <n v="0"/>
    <x v="0"/>
    <n v="1"/>
    <x v="17"/>
    <n v="0.28789999999999999"/>
    <x v="53"/>
    <n v="0.1045"/>
    <x v="23"/>
    <x v="13"/>
    <x v="11"/>
  </r>
  <r>
    <n v="655"/>
    <x v="29"/>
    <x v="0"/>
    <x v="0"/>
    <x v="0"/>
    <x v="14"/>
    <n v="0"/>
    <n v="0"/>
    <x v="0"/>
    <n v="1"/>
    <x v="17"/>
    <n v="0.30299999999999999"/>
    <x v="53"/>
    <n v="8.9599999999999999E-2"/>
    <x v="25"/>
    <x v="153"/>
    <x v="78"/>
  </r>
  <r>
    <n v="656"/>
    <x v="29"/>
    <x v="0"/>
    <x v="0"/>
    <x v="0"/>
    <x v="15"/>
    <n v="0"/>
    <n v="0"/>
    <x v="0"/>
    <n v="1"/>
    <x v="11"/>
    <n v="0.33329999999999999"/>
    <x v="34"/>
    <n v="0"/>
    <x v="24"/>
    <x v="73"/>
    <x v="142"/>
  </r>
  <r>
    <n v="657"/>
    <x v="29"/>
    <x v="0"/>
    <x v="0"/>
    <x v="0"/>
    <x v="16"/>
    <n v="0"/>
    <n v="0"/>
    <x v="0"/>
    <n v="1"/>
    <x v="11"/>
    <n v="0.33329999999999999"/>
    <x v="34"/>
    <n v="0"/>
    <x v="21"/>
    <x v="153"/>
    <x v="92"/>
  </r>
  <r>
    <n v="658"/>
    <x v="29"/>
    <x v="0"/>
    <x v="0"/>
    <x v="0"/>
    <x v="17"/>
    <n v="0"/>
    <n v="0"/>
    <x v="0"/>
    <n v="1"/>
    <x v="11"/>
    <n v="0.28789999999999999"/>
    <x v="34"/>
    <n v="0.19400000000000001"/>
    <x v="15"/>
    <x v="13"/>
    <x v="43"/>
  </r>
  <r>
    <n v="659"/>
    <x v="29"/>
    <x v="0"/>
    <x v="0"/>
    <x v="0"/>
    <x v="18"/>
    <n v="0"/>
    <n v="0"/>
    <x v="0"/>
    <n v="1"/>
    <x v="12"/>
    <n v="0.2576"/>
    <x v="55"/>
    <n v="0.16420000000000001"/>
    <x v="1"/>
    <x v="77"/>
    <x v="32"/>
  </r>
  <r>
    <n v="660"/>
    <x v="29"/>
    <x v="0"/>
    <x v="0"/>
    <x v="0"/>
    <x v="19"/>
    <n v="0"/>
    <n v="0"/>
    <x v="0"/>
    <n v="1"/>
    <x v="12"/>
    <n v="0.2576"/>
    <x v="55"/>
    <n v="0.19400000000000001"/>
    <x v="14"/>
    <x v="24"/>
    <x v="97"/>
  </r>
  <r>
    <n v="661"/>
    <x v="29"/>
    <x v="0"/>
    <x v="0"/>
    <x v="0"/>
    <x v="20"/>
    <n v="0"/>
    <n v="0"/>
    <x v="0"/>
    <n v="2"/>
    <x v="12"/>
    <n v="0.2727"/>
    <x v="55"/>
    <n v="0.1045"/>
    <x v="0"/>
    <x v="10"/>
    <x v="63"/>
  </r>
  <r>
    <n v="662"/>
    <x v="29"/>
    <x v="0"/>
    <x v="0"/>
    <x v="0"/>
    <x v="21"/>
    <n v="0"/>
    <n v="0"/>
    <x v="0"/>
    <n v="2"/>
    <x v="0"/>
    <n v="0.2424"/>
    <x v="56"/>
    <n v="0.16420000000000001"/>
    <x v="0"/>
    <x v="18"/>
    <x v="20"/>
  </r>
  <r>
    <n v="663"/>
    <x v="29"/>
    <x v="0"/>
    <x v="0"/>
    <x v="0"/>
    <x v="22"/>
    <n v="0"/>
    <n v="0"/>
    <x v="0"/>
    <n v="2"/>
    <x v="0"/>
    <n v="0.2273"/>
    <x v="56"/>
    <n v="0.19400000000000001"/>
    <x v="4"/>
    <x v="23"/>
    <x v="137"/>
  </r>
  <r>
    <n v="664"/>
    <x v="29"/>
    <x v="0"/>
    <x v="0"/>
    <x v="0"/>
    <x v="23"/>
    <n v="0"/>
    <n v="0"/>
    <x v="0"/>
    <n v="2"/>
    <x v="0"/>
    <n v="0.21210000000000001"/>
    <x v="55"/>
    <n v="0.28360000000000002"/>
    <x v="2"/>
    <x v="20"/>
    <x v="137"/>
  </r>
  <r>
    <n v="665"/>
    <x v="30"/>
    <x v="0"/>
    <x v="0"/>
    <x v="0"/>
    <x v="0"/>
    <n v="0"/>
    <n v="1"/>
    <x v="1"/>
    <n v="2"/>
    <x v="0"/>
    <n v="0.2273"/>
    <x v="55"/>
    <n v="0.22389999999999999"/>
    <x v="5"/>
    <x v="8"/>
    <x v="85"/>
  </r>
  <r>
    <n v="666"/>
    <x v="30"/>
    <x v="0"/>
    <x v="0"/>
    <x v="0"/>
    <x v="1"/>
    <n v="0"/>
    <n v="1"/>
    <x v="1"/>
    <n v="1"/>
    <x v="1"/>
    <n v="0.21210000000000001"/>
    <x v="26"/>
    <n v="0.25369999999999998"/>
    <x v="4"/>
    <x v="34"/>
    <x v="85"/>
  </r>
  <r>
    <n v="667"/>
    <x v="30"/>
    <x v="0"/>
    <x v="0"/>
    <x v="0"/>
    <x v="2"/>
    <n v="0"/>
    <n v="1"/>
    <x v="1"/>
    <n v="1"/>
    <x v="1"/>
    <n v="0.2273"/>
    <x v="26"/>
    <n v="0.19400000000000001"/>
    <x v="3"/>
    <x v="4"/>
    <x v="4"/>
  </r>
  <r>
    <n v="668"/>
    <x v="30"/>
    <x v="0"/>
    <x v="0"/>
    <x v="0"/>
    <x v="3"/>
    <n v="0"/>
    <n v="1"/>
    <x v="1"/>
    <n v="1"/>
    <x v="1"/>
    <n v="0.2273"/>
    <x v="26"/>
    <n v="0.19400000000000001"/>
    <x v="3"/>
    <x v="6"/>
    <x v="5"/>
  </r>
  <r>
    <n v="669"/>
    <x v="30"/>
    <x v="0"/>
    <x v="0"/>
    <x v="0"/>
    <x v="4"/>
    <n v="0"/>
    <n v="1"/>
    <x v="1"/>
    <n v="1"/>
    <x v="2"/>
    <n v="0.19700000000000001"/>
    <x v="29"/>
    <n v="0.22389999999999999"/>
    <x v="3"/>
    <x v="6"/>
    <x v="5"/>
  </r>
  <r>
    <n v="670"/>
    <x v="30"/>
    <x v="0"/>
    <x v="0"/>
    <x v="0"/>
    <x v="5"/>
    <n v="0"/>
    <n v="1"/>
    <x v="1"/>
    <n v="1"/>
    <x v="15"/>
    <n v="0.16669999999999999"/>
    <x v="26"/>
    <n v="0.28360000000000002"/>
    <x v="3"/>
    <x v="21"/>
    <x v="7"/>
  </r>
  <r>
    <n v="671"/>
    <x v="30"/>
    <x v="0"/>
    <x v="0"/>
    <x v="0"/>
    <x v="6"/>
    <n v="0"/>
    <n v="1"/>
    <x v="1"/>
    <n v="1"/>
    <x v="13"/>
    <n v="0.13639999999999999"/>
    <x v="27"/>
    <n v="0.32840000000000003"/>
    <x v="3"/>
    <x v="53"/>
    <x v="18"/>
  </r>
  <r>
    <n v="672"/>
    <x v="30"/>
    <x v="0"/>
    <x v="0"/>
    <x v="0"/>
    <x v="7"/>
    <n v="0"/>
    <n v="1"/>
    <x v="1"/>
    <n v="2"/>
    <x v="13"/>
    <n v="0.13639999999999999"/>
    <x v="26"/>
    <n v="0.28360000000000002"/>
    <x v="5"/>
    <x v="13"/>
    <x v="44"/>
  </r>
  <r>
    <n v="673"/>
    <x v="30"/>
    <x v="0"/>
    <x v="0"/>
    <x v="0"/>
    <x v="8"/>
    <n v="0"/>
    <n v="1"/>
    <x v="1"/>
    <n v="2"/>
    <x v="13"/>
    <n v="0.13639999999999999"/>
    <x v="29"/>
    <n v="0.28360000000000002"/>
    <x v="0"/>
    <x v="154"/>
    <x v="147"/>
  </r>
  <r>
    <n v="674"/>
    <x v="30"/>
    <x v="0"/>
    <x v="0"/>
    <x v="0"/>
    <x v="9"/>
    <n v="0"/>
    <n v="1"/>
    <x v="1"/>
    <n v="2"/>
    <x v="13"/>
    <n v="0.13639999999999999"/>
    <x v="29"/>
    <n v="0.29849999999999999"/>
    <x v="3"/>
    <x v="155"/>
    <x v="59"/>
  </r>
  <r>
    <n v="675"/>
    <x v="30"/>
    <x v="0"/>
    <x v="0"/>
    <x v="0"/>
    <x v="10"/>
    <n v="0"/>
    <n v="1"/>
    <x v="1"/>
    <n v="2"/>
    <x v="13"/>
    <n v="0.1515"/>
    <x v="29"/>
    <n v="0.19400000000000001"/>
    <x v="5"/>
    <x v="56"/>
    <x v="83"/>
  </r>
  <r>
    <n v="676"/>
    <x v="30"/>
    <x v="0"/>
    <x v="0"/>
    <x v="0"/>
    <x v="11"/>
    <n v="0"/>
    <n v="1"/>
    <x v="1"/>
    <n v="2"/>
    <x v="13"/>
    <n v="0.1515"/>
    <x v="29"/>
    <n v="0.19400000000000001"/>
    <x v="4"/>
    <x v="24"/>
    <x v="61"/>
  </r>
  <r>
    <n v="677"/>
    <x v="30"/>
    <x v="0"/>
    <x v="0"/>
    <x v="0"/>
    <x v="12"/>
    <n v="0"/>
    <n v="1"/>
    <x v="1"/>
    <n v="2"/>
    <x v="15"/>
    <n v="0.21210000000000001"/>
    <x v="28"/>
    <n v="0.1045"/>
    <x v="15"/>
    <x v="133"/>
    <x v="118"/>
  </r>
  <r>
    <n v="678"/>
    <x v="30"/>
    <x v="0"/>
    <x v="0"/>
    <x v="0"/>
    <x v="13"/>
    <n v="0"/>
    <n v="1"/>
    <x v="1"/>
    <n v="2"/>
    <x v="13"/>
    <n v="0.2273"/>
    <x v="29"/>
    <n v="0"/>
    <x v="4"/>
    <x v="15"/>
    <x v="60"/>
  </r>
  <r>
    <n v="679"/>
    <x v="30"/>
    <x v="0"/>
    <x v="0"/>
    <x v="0"/>
    <x v="14"/>
    <n v="0"/>
    <n v="1"/>
    <x v="1"/>
    <n v="2"/>
    <x v="15"/>
    <n v="0.19700000000000001"/>
    <x v="28"/>
    <n v="0.1343"/>
    <x v="5"/>
    <x v="66"/>
    <x v="80"/>
  </r>
  <r>
    <n v="680"/>
    <x v="30"/>
    <x v="0"/>
    <x v="0"/>
    <x v="0"/>
    <x v="15"/>
    <n v="0"/>
    <n v="1"/>
    <x v="1"/>
    <n v="2"/>
    <x v="13"/>
    <n v="0.18179999999999999"/>
    <x v="29"/>
    <n v="0.1343"/>
    <x v="0"/>
    <x v="40"/>
    <x v="40"/>
  </r>
  <r>
    <n v="681"/>
    <x v="30"/>
    <x v="0"/>
    <x v="0"/>
    <x v="0"/>
    <x v="16"/>
    <n v="0"/>
    <n v="1"/>
    <x v="1"/>
    <n v="2"/>
    <x v="13"/>
    <n v="0.18179999999999999"/>
    <x v="34"/>
    <n v="0.19400000000000001"/>
    <x v="0"/>
    <x v="93"/>
    <x v="80"/>
  </r>
  <r>
    <n v="682"/>
    <x v="30"/>
    <x v="0"/>
    <x v="0"/>
    <x v="0"/>
    <x v="17"/>
    <n v="0"/>
    <n v="1"/>
    <x v="1"/>
    <n v="2"/>
    <x v="13"/>
    <n v="0.1515"/>
    <x v="29"/>
    <n v="0.19400000000000001"/>
    <x v="15"/>
    <x v="119"/>
    <x v="143"/>
  </r>
  <r>
    <n v="683"/>
    <x v="30"/>
    <x v="0"/>
    <x v="0"/>
    <x v="0"/>
    <x v="18"/>
    <n v="0"/>
    <n v="1"/>
    <x v="1"/>
    <n v="2"/>
    <x v="13"/>
    <n v="0.1515"/>
    <x v="28"/>
    <n v="0.22389999999999999"/>
    <x v="0"/>
    <x v="37"/>
    <x v="167"/>
  </r>
  <r>
    <n v="684"/>
    <x v="30"/>
    <x v="0"/>
    <x v="0"/>
    <x v="0"/>
    <x v="19"/>
    <n v="0"/>
    <n v="1"/>
    <x v="1"/>
    <n v="1"/>
    <x v="11"/>
    <n v="0.31819999999999998"/>
    <x v="53"/>
    <n v="0.1045"/>
    <x v="0"/>
    <x v="123"/>
    <x v="168"/>
  </r>
  <r>
    <n v="685"/>
    <x v="30"/>
    <x v="0"/>
    <x v="0"/>
    <x v="0"/>
    <x v="20"/>
    <n v="0"/>
    <n v="1"/>
    <x v="1"/>
    <n v="3"/>
    <x v="13"/>
    <n v="0.16669999999999999"/>
    <x v="29"/>
    <n v="0.16420000000000001"/>
    <x v="3"/>
    <x v="78"/>
    <x v="53"/>
  </r>
  <r>
    <n v="686"/>
    <x v="30"/>
    <x v="0"/>
    <x v="0"/>
    <x v="0"/>
    <x v="21"/>
    <n v="0"/>
    <n v="1"/>
    <x v="1"/>
    <n v="3"/>
    <x v="13"/>
    <n v="0.19700000000000001"/>
    <x v="29"/>
    <n v="8.9599999999999999E-2"/>
    <x v="0"/>
    <x v="42"/>
    <x v="10"/>
  </r>
  <r>
    <n v="687"/>
    <x v="30"/>
    <x v="0"/>
    <x v="0"/>
    <x v="0"/>
    <x v="22"/>
    <n v="0"/>
    <n v="1"/>
    <x v="1"/>
    <n v="2"/>
    <x v="13"/>
    <n v="0.18179999999999999"/>
    <x v="29"/>
    <n v="0.1045"/>
    <x v="3"/>
    <x v="60"/>
    <x v="19"/>
  </r>
  <r>
    <n v="688"/>
    <x v="30"/>
    <x v="0"/>
    <x v="0"/>
    <x v="0"/>
    <x v="23"/>
    <n v="0"/>
    <n v="1"/>
    <x v="1"/>
    <n v="2"/>
    <x v="13"/>
    <n v="0.19700000000000001"/>
    <x v="26"/>
    <n v="8.9599999999999999E-2"/>
    <x v="4"/>
    <x v="89"/>
    <x v="22"/>
  </r>
  <r>
    <n v="689"/>
    <x v="31"/>
    <x v="0"/>
    <x v="0"/>
    <x v="1"/>
    <x v="0"/>
    <n v="0"/>
    <n v="2"/>
    <x v="1"/>
    <n v="2"/>
    <x v="13"/>
    <n v="0.18179999999999999"/>
    <x v="26"/>
    <n v="0.1045"/>
    <x v="4"/>
    <x v="8"/>
    <x v="7"/>
  </r>
  <r>
    <n v="690"/>
    <x v="31"/>
    <x v="0"/>
    <x v="0"/>
    <x v="1"/>
    <x v="1"/>
    <n v="0"/>
    <n v="2"/>
    <x v="1"/>
    <n v="2"/>
    <x v="13"/>
    <n v="0.18179999999999999"/>
    <x v="27"/>
    <n v="0.1045"/>
    <x v="3"/>
    <x v="35"/>
    <x v="6"/>
  </r>
  <r>
    <n v="691"/>
    <x v="31"/>
    <x v="0"/>
    <x v="0"/>
    <x v="1"/>
    <x v="2"/>
    <n v="0"/>
    <n v="2"/>
    <x v="1"/>
    <n v="2"/>
    <x v="13"/>
    <n v="0.2273"/>
    <x v="27"/>
    <n v="0"/>
    <x v="3"/>
    <x v="6"/>
    <x v="5"/>
  </r>
  <r>
    <n v="692"/>
    <x v="31"/>
    <x v="0"/>
    <x v="0"/>
    <x v="1"/>
    <x v="3"/>
    <n v="0"/>
    <n v="2"/>
    <x v="1"/>
    <n v="2"/>
    <x v="13"/>
    <n v="0.2273"/>
    <x v="27"/>
    <n v="0"/>
    <x v="3"/>
    <x v="6"/>
    <x v="5"/>
  </r>
  <r>
    <n v="693"/>
    <x v="31"/>
    <x v="0"/>
    <x v="0"/>
    <x v="1"/>
    <x v="5"/>
    <n v="0"/>
    <n v="2"/>
    <x v="1"/>
    <n v="3"/>
    <x v="14"/>
    <n v="0.21210000000000001"/>
    <x v="43"/>
    <n v="0"/>
    <x v="3"/>
    <x v="35"/>
    <x v="6"/>
  </r>
  <r>
    <n v="694"/>
    <x v="31"/>
    <x v="0"/>
    <x v="0"/>
    <x v="1"/>
    <x v="6"/>
    <n v="0"/>
    <n v="2"/>
    <x v="1"/>
    <n v="3"/>
    <x v="14"/>
    <n v="0.21210000000000001"/>
    <x v="43"/>
    <n v="0"/>
    <x v="3"/>
    <x v="97"/>
    <x v="34"/>
  </r>
  <r>
    <n v="695"/>
    <x v="31"/>
    <x v="0"/>
    <x v="0"/>
    <x v="1"/>
    <x v="7"/>
    <n v="0"/>
    <n v="2"/>
    <x v="1"/>
    <n v="3"/>
    <x v="13"/>
    <n v="0.2273"/>
    <x v="43"/>
    <n v="0"/>
    <x v="3"/>
    <x v="15"/>
    <x v="46"/>
  </r>
  <r>
    <n v="696"/>
    <x v="31"/>
    <x v="0"/>
    <x v="0"/>
    <x v="1"/>
    <x v="8"/>
    <n v="0"/>
    <n v="2"/>
    <x v="1"/>
    <n v="3"/>
    <x v="13"/>
    <n v="0.2273"/>
    <x v="43"/>
    <n v="0"/>
    <x v="0"/>
    <x v="126"/>
    <x v="169"/>
  </r>
  <r>
    <n v="697"/>
    <x v="31"/>
    <x v="0"/>
    <x v="0"/>
    <x v="1"/>
    <x v="9"/>
    <n v="0"/>
    <n v="2"/>
    <x v="1"/>
    <n v="2"/>
    <x v="13"/>
    <n v="0.2273"/>
    <x v="43"/>
    <n v="0"/>
    <x v="4"/>
    <x v="156"/>
    <x v="155"/>
  </r>
  <r>
    <n v="698"/>
    <x v="31"/>
    <x v="0"/>
    <x v="0"/>
    <x v="1"/>
    <x v="10"/>
    <n v="0"/>
    <n v="2"/>
    <x v="1"/>
    <n v="2"/>
    <x v="13"/>
    <n v="0.2273"/>
    <x v="43"/>
    <n v="0"/>
    <x v="3"/>
    <x v="12"/>
    <x v="105"/>
  </r>
  <r>
    <n v="699"/>
    <x v="31"/>
    <x v="0"/>
    <x v="0"/>
    <x v="1"/>
    <x v="11"/>
    <n v="0"/>
    <n v="2"/>
    <x v="1"/>
    <n v="2"/>
    <x v="15"/>
    <n v="0.2424"/>
    <x v="3"/>
    <n v="0"/>
    <x v="4"/>
    <x v="47"/>
    <x v="41"/>
  </r>
  <r>
    <n v="700"/>
    <x v="31"/>
    <x v="0"/>
    <x v="0"/>
    <x v="1"/>
    <x v="12"/>
    <n v="0"/>
    <n v="2"/>
    <x v="1"/>
    <n v="2"/>
    <x v="2"/>
    <n v="0.2576"/>
    <x v="3"/>
    <n v="0"/>
    <x v="4"/>
    <x v="42"/>
    <x v="97"/>
  </r>
  <r>
    <n v="701"/>
    <x v="31"/>
    <x v="0"/>
    <x v="0"/>
    <x v="1"/>
    <x v="13"/>
    <n v="0"/>
    <n v="2"/>
    <x v="1"/>
    <n v="2"/>
    <x v="2"/>
    <n v="0.2576"/>
    <x v="3"/>
    <n v="0"/>
    <x v="0"/>
    <x v="47"/>
    <x v="46"/>
  </r>
  <r>
    <n v="702"/>
    <x v="31"/>
    <x v="0"/>
    <x v="0"/>
    <x v="1"/>
    <x v="14"/>
    <n v="0"/>
    <n v="2"/>
    <x v="1"/>
    <n v="2"/>
    <x v="1"/>
    <n v="0.2576"/>
    <x v="1"/>
    <n v="8.9599999999999999E-2"/>
    <x v="2"/>
    <x v="47"/>
    <x v="60"/>
  </r>
  <r>
    <n v="703"/>
    <x v="31"/>
    <x v="0"/>
    <x v="0"/>
    <x v="1"/>
    <x v="15"/>
    <n v="0"/>
    <n v="2"/>
    <x v="1"/>
    <n v="2"/>
    <x v="0"/>
    <n v="0.28789999999999999"/>
    <x v="2"/>
    <n v="0"/>
    <x v="18"/>
    <x v="108"/>
    <x v="46"/>
  </r>
  <r>
    <n v="704"/>
    <x v="31"/>
    <x v="0"/>
    <x v="0"/>
    <x v="1"/>
    <x v="16"/>
    <n v="0"/>
    <n v="2"/>
    <x v="1"/>
    <n v="2"/>
    <x v="0"/>
    <n v="0.2424"/>
    <x v="2"/>
    <n v="0.1343"/>
    <x v="0"/>
    <x v="124"/>
    <x v="37"/>
  </r>
  <r>
    <n v="705"/>
    <x v="31"/>
    <x v="0"/>
    <x v="0"/>
    <x v="1"/>
    <x v="17"/>
    <n v="0"/>
    <n v="2"/>
    <x v="1"/>
    <n v="2"/>
    <x v="0"/>
    <n v="0.28789999999999999"/>
    <x v="2"/>
    <n v="0"/>
    <x v="17"/>
    <x v="157"/>
    <x v="170"/>
  </r>
  <r>
    <n v="706"/>
    <x v="31"/>
    <x v="0"/>
    <x v="0"/>
    <x v="1"/>
    <x v="18"/>
    <n v="0"/>
    <n v="2"/>
    <x v="1"/>
    <n v="2"/>
    <x v="0"/>
    <n v="0.2576"/>
    <x v="0"/>
    <n v="0.1045"/>
    <x v="0"/>
    <x v="158"/>
    <x v="171"/>
  </r>
  <r>
    <n v="707"/>
    <x v="31"/>
    <x v="0"/>
    <x v="0"/>
    <x v="1"/>
    <x v="19"/>
    <n v="0"/>
    <n v="2"/>
    <x v="1"/>
    <n v="2"/>
    <x v="0"/>
    <n v="0.2424"/>
    <x v="0"/>
    <n v="0.1343"/>
    <x v="0"/>
    <x v="159"/>
    <x v="159"/>
  </r>
  <r>
    <n v="708"/>
    <x v="31"/>
    <x v="0"/>
    <x v="0"/>
    <x v="1"/>
    <x v="20"/>
    <n v="0"/>
    <n v="2"/>
    <x v="1"/>
    <n v="2"/>
    <x v="1"/>
    <n v="0.2273"/>
    <x v="9"/>
    <n v="0.1343"/>
    <x v="2"/>
    <x v="94"/>
    <x v="30"/>
  </r>
  <r>
    <n v="709"/>
    <x v="31"/>
    <x v="0"/>
    <x v="0"/>
    <x v="1"/>
    <x v="21"/>
    <n v="0"/>
    <n v="2"/>
    <x v="1"/>
    <n v="2"/>
    <x v="1"/>
    <n v="0.2273"/>
    <x v="9"/>
    <n v="0.1343"/>
    <x v="3"/>
    <x v="27"/>
    <x v="37"/>
  </r>
  <r>
    <n v="710"/>
    <x v="31"/>
    <x v="0"/>
    <x v="0"/>
    <x v="1"/>
    <x v="22"/>
    <n v="0"/>
    <n v="2"/>
    <x v="1"/>
    <n v="2"/>
    <x v="1"/>
    <n v="0.2576"/>
    <x v="9"/>
    <n v="8.9599999999999999E-2"/>
    <x v="4"/>
    <x v="60"/>
    <x v="9"/>
  </r>
  <r>
    <n v="711"/>
    <x v="31"/>
    <x v="0"/>
    <x v="0"/>
    <x v="1"/>
    <x v="23"/>
    <n v="0"/>
    <n v="2"/>
    <x v="1"/>
    <n v="3"/>
    <x v="2"/>
    <n v="0.19700000000000001"/>
    <x v="43"/>
    <n v="0.19400000000000001"/>
    <x v="5"/>
    <x v="89"/>
    <x v="0"/>
  </r>
  <r>
    <n v="712"/>
    <x v="32"/>
    <x v="0"/>
    <x v="0"/>
    <x v="1"/>
    <x v="0"/>
    <n v="0"/>
    <n v="3"/>
    <x v="1"/>
    <n v="3"/>
    <x v="1"/>
    <n v="0.2424"/>
    <x v="43"/>
    <n v="0.1045"/>
    <x v="3"/>
    <x v="6"/>
    <x v="5"/>
  </r>
  <r>
    <n v="713"/>
    <x v="32"/>
    <x v="0"/>
    <x v="0"/>
    <x v="1"/>
    <x v="1"/>
    <n v="0"/>
    <n v="3"/>
    <x v="1"/>
    <n v="3"/>
    <x v="1"/>
    <n v="0.2273"/>
    <x v="43"/>
    <n v="0.19400000000000001"/>
    <x v="3"/>
    <x v="35"/>
    <x v="6"/>
  </r>
  <r>
    <n v="714"/>
    <x v="32"/>
    <x v="0"/>
    <x v="0"/>
    <x v="1"/>
    <x v="2"/>
    <n v="0"/>
    <n v="3"/>
    <x v="1"/>
    <n v="3"/>
    <x v="1"/>
    <n v="0.2273"/>
    <x v="43"/>
    <n v="0.1343"/>
    <x v="17"/>
    <x v="5"/>
    <x v="48"/>
  </r>
  <r>
    <n v="715"/>
    <x v="32"/>
    <x v="0"/>
    <x v="0"/>
    <x v="1"/>
    <x v="3"/>
    <n v="0"/>
    <n v="3"/>
    <x v="1"/>
    <n v="3"/>
    <x v="1"/>
    <n v="0.2273"/>
    <x v="43"/>
    <n v="0.1343"/>
    <x v="3"/>
    <x v="4"/>
    <x v="4"/>
  </r>
  <r>
    <n v="716"/>
    <x v="32"/>
    <x v="0"/>
    <x v="0"/>
    <x v="1"/>
    <x v="4"/>
    <n v="0"/>
    <n v="3"/>
    <x v="1"/>
    <n v="3"/>
    <x v="1"/>
    <n v="0.21210000000000001"/>
    <x v="43"/>
    <n v="0.28360000000000002"/>
    <x v="3"/>
    <x v="4"/>
    <x v="4"/>
  </r>
  <r>
    <n v="717"/>
    <x v="32"/>
    <x v="0"/>
    <x v="0"/>
    <x v="1"/>
    <x v="5"/>
    <n v="0"/>
    <n v="3"/>
    <x v="1"/>
    <n v="3"/>
    <x v="1"/>
    <n v="0.2424"/>
    <x v="43"/>
    <n v="0.1045"/>
    <x v="3"/>
    <x v="35"/>
    <x v="6"/>
  </r>
  <r>
    <n v="718"/>
    <x v="32"/>
    <x v="0"/>
    <x v="0"/>
    <x v="1"/>
    <x v="6"/>
    <n v="0"/>
    <n v="3"/>
    <x v="1"/>
    <n v="3"/>
    <x v="1"/>
    <n v="0.2424"/>
    <x v="43"/>
    <n v="0.1045"/>
    <x v="5"/>
    <x v="19"/>
    <x v="109"/>
  </r>
  <r>
    <n v="719"/>
    <x v="32"/>
    <x v="0"/>
    <x v="0"/>
    <x v="1"/>
    <x v="7"/>
    <n v="0"/>
    <n v="3"/>
    <x v="1"/>
    <n v="3"/>
    <x v="1"/>
    <n v="0.21210000000000001"/>
    <x v="43"/>
    <n v="0.22389999999999999"/>
    <x v="5"/>
    <x v="41"/>
    <x v="99"/>
  </r>
  <r>
    <n v="720"/>
    <x v="32"/>
    <x v="0"/>
    <x v="0"/>
    <x v="1"/>
    <x v="8"/>
    <n v="0"/>
    <n v="3"/>
    <x v="1"/>
    <n v="3"/>
    <x v="1"/>
    <n v="0.21210000000000001"/>
    <x v="43"/>
    <n v="0.22389999999999999"/>
    <x v="5"/>
    <x v="105"/>
    <x v="107"/>
  </r>
  <r>
    <n v="721"/>
    <x v="32"/>
    <x v="0"/>
    <x v="0"/>
    <x v="1"/>
    <x v="9"/>
    <n v="0"/>
    <n v="3"/>
    <x v="1"/>
    <n v="2"/>
    <x v="0"/>
    <n v="0.2576"/>
    <x v="43"/>
    <n v="8.9599999999999999E-2"/>
    <x v="17"/>
    <x v="138"/>
    <x v="92"/>
  </r>
  <r>
    <n v="722"/>
    <x v="32"/>
    <x v="0"/>
    <x v="0"/>
    <x v="1"/>
    <x v="10"/>
    <n v="0"/>
    <n v="3"/>
    <x v="1"/>
    <n v="2"/>
    <x v="1"/>
    <n v="0.2727"/>
    <x v="11"/>
    <n v="0"/>
    <x v="4"/>
    <x v="79"/>
    <x v="42"/>
  </r>
  <r>
    <n v="723"/>
    <x v="32"/>
    <x v="0"/>
    <x v="0"/>
    <x v="1"/>
    <x v="11"/>
    <n v="0"/>
    <n v="3"/>
    <x v="1"/>
    <n v="2"/>
    <x v="0"/>
    <n v="0.2273"/>
    <x v="43"/>
    <n v="0.19400000000000001"/>
    <x v="2"/>
    <x v="12"/>
    <x v="46"/>
  </r>
  <r>
    <n v="724"/>
    <x v="32"/>
    <x v="0"/>
    <x v="0"/>
    <x v="1"/>
    <x v="12"/>
    <n v="0"/>
    <n v="3"/>
    <x v="1"/>
    <n v="2"/>
    <x v="0"/>
    <n v="0.2273"/>
    <x v="43"/>
    <n v="0.22389999999999999"/>
    <x v="0"/>
    <x v="124"/>
    <x v="37"/>
  </r>
  <r>
    <n v="725"/>
    <x v="32"/>
    <x v="0"/>
    <x v="0"/>
    <x v="1"/>
    <x v="13"/>
    <n v="0"/>
    <n v="3"/>
    <x v="1"/>
    <n v="1"/>
    <x v="10"/>
    <n v="0.33329999999999999"/>
    <x v="43"/>
    <n v="0.16420000000000001"/>
    <x v="5"/>
    <x v="64"/>
    <x v="28"/>
  </r>
  <r>
    <n v="726"/>
    <x v="32"/>
    <x v="0"/>
    <x v="0"/>
    <x v="1"/>
    <x v="14"/>
    <n v="0"/>
    <n v="3"/>
    <x v="1"/>
    <n v="1"/>
    <x v="4"/>
    <n v="0.39389999999999997"/>
    <x v="7"/>
    <n v="0.3881"/>
    <x v="4"/>
    <x v="124"/>
    <x v="55"/>
  </r>
  <r>
    <n v="727"/>
    <x v="32"/>
    <x v="0"/>
    <x v="0"/>
    <x v="1"/>
    <x v="15"/>
    <n v="0"/>
    <n v="3"/>
    <x v="1"/>
    <n v="1"/>
    <x v="4"/>
    <n v="0.39389999999999997"/>
    <x v="4"/>
    <n v="0.32840000000000003"/>
    <x v="22"/>
    <x v="43"/>
    <x v="31"/>
  </r>
  <r>
    <n v="728"/>
    <x v="32"/>
    <x v="0"/>
    <x v="0"/>
    <x v="1"/>
    <x v="16"/>
    <n v="0"/>
    <n v="3"/>
    <x v="1"/>
    <n v="1"/>
    <x v="5"/>
    <n v="0.33329999999999999"/>
    <x v="12"/>
    <n v="0.29849999999999999"/>
    <x v="1"/>
    <x v="73"/>
    <x v="153"/>
  </r>
  <r>
    <n v="729"/>
    <x v="32"/>
    <x v="0"/>
    <x v="0"/>
    <x v="1"/>
    <x v="17"/>
    <n v="0"/>
    <n v="3"/>
    <x v="1"/>
    <n v="1"/>
    <x v="5"/>
    <n v="0.31819999999999998"/>
    <x v="45"/>
    <n v="0.52239999999999998"/>
    <x v="18"/>
    <x v="160"/>
    <x v="71"/>
  </r>
  <r>
    <n v="730"/>
    <x v="32"/>
    <x v="0"/>
    <x v="0"/>
    <x v="1"/>
    <x v="18"/>
    <n v="0"/>
    <n v="3"/>
    <x v="1"/>
    <n v="1"/>
    <x v="10"/>
    <n v="0.28789999999999999"/>
    <x v="16"/>
    <n v="0.55220000000000002"/>
    <x v="18"/>
    <x v="161"/>
    <x v="58"/>
  </r>
  <r>
    <n v="731"/>
    <x v="32"/>
    <x v="0"/>
    <x v="0"/>
    <x v="1"/>
    <x v="19"/>
    <n v="0"/>
    <n v="3"/>
    <x v="1"/>
    <n v="1"/>
    <x v="17"/>
    <n v="0.2424"/>
    <x v="49"/>
    <n v="0.49249999999999999"/>
    <x v="0"/>
    <x v="152"/>
    <x v="134"/>
  </r>
  <r>
    <n v="732"/>
    <x v="32"/>
    <x v="0"/>
    <x v="0"/>
    <x v="1"/>
    <x v="20"/>
    <n v="0"/>
    <n v="3"/>
    <x v="1"/>
    <n v="1"/>
    <x v="0"/>
    <n v="0.19700000000000001"/>
    <x v="37"/>
    <n v="0.55220000000000002"/>
    <x v="17"/>
    <x v="13"/>
    <x v="28"/>
  </r>
  <r>
    <n v="733"/>
    <x v="32"/>
    <x v="0"/>
    <x v="0"/>
    <x v="1"/>
    <x v="21"/>
    <n v="0"/>
    <n v="3"/>
    <x v="1"/>
    <n v="1"/>
    <x v="1"/>
    <n v="0.19700000000000001"/>
    <x v="19"/>
    <n v="0.32840000000000003"/>
    <x v="5"/>
    <x v="133"/>
    <x v="55"/>
  </r>
  <r>
    <n v="734"/>
    <x v="32"/>
    <x v="0"/>
    <x v="0"/>
    <x v="1"/>
    <x v="22"/>
    <n v="0"/>
    <n v="3"/>
    <x v="1"/>
    <n v="1"/>
    <x v="1"/>
    <n v="0.21210000000000001"/>
    <x v="18"/>
    <n v="0.25369999999999998"/>
    <x v="2"/>
    <x v="96"/>
    <x v="1"/>
  </r>
  <r>
    <n v="735"/>
    <x v="32"/>
    <x v="0"/>
    <x v="0"/>
    <x v="1"/>
    <x v="23"/>
    <n v="0"/>
    <n v="3"/>
    <x v="1"/>
    <n v="1"/>
    <x v="2"/>
    <n v="0.16669999999999999"/>
    <x v="18"/>
    <n v="0.44779999999999998"/>
    <x v="0"/>
    <x v="31"/>
    <x v="2"/>
  </r>
  <r>
    <n v="736"/>
    <x v="33"/>
    <x v="0"/>
    <x v="0"/>
    <x v="1"/>
    <x v="0"/>
    <n v="0"/>
    <n v="4"/>
    <x v="1"/>
    <n v="1"/>
    <x v="2"/>
    <n v="0.16669999999999999"/>
    <x v="22"/>
    <n v="0.44779999999999998"/>
    <x v="5"/>
    <x v="48"/>
    <x v="47"/>
  </r>
  <r>
    <n v="737"/>
    <x v="33"/>
    <x v="0"/>
    <x v="0"/>
    <x v="1"/>
    <x v="1"/>
    <n v="0"/>
    <n v="4"/>
    <x v="1"/>
    <n v="1"/>
    <x v="2"/>
    <n v="0.1515"/>
    <x v="18"/>
    <n v="0.52239999999999998"/>
    <x v="3"/>
    <x v="34"/>
    <x v="36"/>
  </r>
  <r>
    <n v="738"/>
    <x v="33"/>
    <x v="0"/>
    <x v="0"/>
    <x v="1"/>
    <x v="2"/>
    <n v="0"/>
    <n v="4"/>
    <x v="1"/>
    <n v="1"/>
    <x v="15"/>
    <n v="0.16669999999999999"/>
    <x v="21"/>
    <n v="0.25369999999999998"/>
    <x v="3"/>
    <x v="6"/>
    <x v="5"/>
  </r>
  <r>
    <n v="739"/>
    <x v="33"/>
    <x v="0"/>
    <x v="0"/>
    <x v="1"/>
    <x v="3"/>
    <n v="0"/>
    <n v="4"/>
    <x v="1"/>
    <n v="1"/>
    <x v="15"/>
    <n v="0.16669999999999999"/>
    <x v="21"/>
    <n v="0.25369999999999998"/>
    <x v="3"/>
    <x v="4"/>
    <x v="4"/>
  </r>
  <r>
    <n v="740"/>
    <x v="33"/>
    <x v="0"/>
    <x v="0"/>
    <x v="1"/>
    <x v="5"/>
    <n v="0"/>
    <n v="4"/>
    <x v="1"/>
    <n v="1"/>
    <x v="13"/>
    <n v="0.13639999999999999"/>
    <x v="20"/>
    <n v="0.29849999999999999"/>
    <x v="3"/>
    <x v="6"/>
    <x v="5"/>
  </r>
  <r>
    <n v="741"/>
    <x v="33"/>
    <x v="0"/>
    <x v="0"/>
    <x v="1"/>
    <x v="6"/>
    <n v="0"/>
    <n v="4"/>
    <x v="1"/>
    <n v="1"/>
    <x v="13"/>
    <n v="0.13639999999999999"/>
    <x v="21"/>
    <n v="0.35820000000000002"/>
    <x v="3"/>
    <x v="87"/>
    <x v="21"/>
  </r>
  <r>
    <n v="742"/>
    <x v="33"/>
    <x v="0"/>
    <x v="0"/>
    <x v="1"/>
    <x v="7"/>
    <n v="0"/>
    <n v="4"/>
    <x v="1"/>
    <n v="1"/>
    <x v="14"/>
    <n v="0.1212"/>
    <x v="20"/>
    <n v="0.32840000000000003"/>
    <x v="5"/>
    <x v="132"/>
    <x v="90"/>
  </r>
  <r>
    <n v="743"/>
    <x v="33"/>
    <x v="0"/>
    <x v="0"/>
    <x v="1"/>
    <x v="8"/>
    <n v="0"/>
    <n v="4"/>
    <x v="1"/>
    <n v="1"/>
    <x v="14"/>
    <n v="0.1212"/>
    <x v="20"/>
    <n v="0.35820000000000002"/>
    <x v="17"/>
    <x v="103"/>
    <x v="104"/>
  </r>
  <r>
    <n v="744"/>
    <x v="33"/>
    <x v="0"/>
    <x v="0"/>
    <x v="1"/>
    <x v="9"/>
    <n v="0"/>
    <n v="4"/>
    <x v="1"/>
    <n v="1"/>
    <x v="13"/>
    <n v="0.13639999999999999"/>
    <x v="19"/>
    <n v="0.29849999999999999"/>
    <x v="15"/>
    <x v="69"/>
    <x v="140"/>
  </r>
  <r>
    <n v="745"/>
    <x v="33"/>
    <x v="0"/>
    <x v="0"/>
    <x v="1"/>
    <x v="10"/>
    <n v="0"/>
    <n v="4"/>
    <x v="1"/>
    <n v="1"/>
    <x v="15"/>
    <n v="0.1515"/>
    <x v="21"/>
    <n v="0.32840000000000003"/>
    <x v="4"/>
    <x v="54"/>
    <x v="46"/>
  </r>
  <r>
    <n v="746"/>
    <x v="33"/>
    <x v="0"/>
    <x v="0"/>
    <x v="1"/>
    <x v="11"/>
    <n v="0"/>
    <n v="4"/>
    <x v="1"/>
    <n v="1"/>
    <x v="15"/>
    <n v="0.13639999999999999"/>
    <x v="21"/>
    <n v="0.44779999999999998"/>
    <x v="14"/>
    <x v="11"/>
    <x v="37"/>
  </r>
  <r>
    <n v="747"/>
    <x v="33"/>
    <x v="0"/>
    <x v="0"/>
    <x v="1"/>
    <x v="12"/>
    <n v="0"/>
    <n v="4"/>
    <x v="1"/>
    <n v="1"/>
    <x v="2"/>
    <n v="0.18179999999999999"/>
    <x v="22"/>
    <n v="0.35820000000000002"/>
    <x v="4"/>
    <x v="28"/>
    <x v="83"/>
  </r>
  <r>
    <n v="748"/>
    <x v="33"/>
    <x v="0"/>
    <x v="0"/>
    <x v="1"/>
    <x v="13"/>
    <n v="0"/>
    <n v="4"/>
    <x v="1"/>
    <n v="1"/>
    <x v="2"/>
    <n v="0.16669999999999999"/>
    <x v="22"/>
    <n v="0.41789999999999999"/>
    <x v="17"/>
    <x v="12"/>
    <x v="41"/>
  </r>
  <r>
    <n v="749"/>
    <x v="33"/>
    <x v="0"/>
    <x v="0"/>
    <x v="1"/>
    <x v="14"/>
    <n v="0"/>
    <n v="4"/>
    <x v="1"/>
    <n v="1"/>
    <x v="1"/>
    <n v="0.19700000000000001"/>
    <x v="38"/>
    <n v="0.3881"/>
    <x v="17"/>
    <x v="30"/>
    <x v="105"/>
  </r>
  <r>
    <n v="750"/>
    <x v="33"/>
    <x v="0"/>
    <x v="0"/>
    <x v="1"/>
    <x v="15"/>
    <n v="0"/>
    <n v="4"/>
    <x v="1"/>
    <n v="1"/>
    <x v="1"/>
    <n v="0.19700000000000001"/>
    <x v="38"/>
    <n v="0.32840000000000003"/>
    <x v="17"/>
    <x v="90"/>
    <x v="122"/>
  </r>
  <r>
    <n v="751"/>
    <x v="33"/>
    <x v="0"/>
    <x v="0"/>
    <x v="1"/>
    <x v="16"/>
    <n v="0"/>
    <n v="4"/>
    <x v="1"/>
    <n v="1"/>
    <x v="1"/>
    <n v="0.21210000000000001"/>
    <x v="38"/>
    <n v="0.25369999999999998"/>
    <x v="2"/>
    <x v="26"/>
    <x v="53"/>
  </r>
  <r>
    <n v="752"/>
    <x v="33"/>
    <x v="0"/>
    <x v="0"/>
    <x v="1"/>
    <x v="17"/>
    <n v="0"/>
    <n v="4"/>
    <x v="1"/>
    <n v="1"/>
    <x v="2"/>
    <n v="0.19700000000000001"/>
    <x v="22"/>
    <n v="0.19400000000000001"/>
    <x v="2"/>
    <x v="162"/>
    <x v="172"/>
  </r>
  <r>
    <n v="753"/>
    <x v="33"/>
    <x v="0"/>
    <x v="0"/>
    <x v="1"/>
    <x v="18"/>
    <n v="0"/>
    <n v="4"/>
    <x v="1"/>
    <n v="1"/>
    <x v="2"/>
    <n v="0.21210000000000001"/>
    <x v="22"/>
    <n v="0.16420000000000001"/>
    <x v="4"/>
    <x v="142"/>
    <x v="173"/>
  </r>
  <r>
    <n v="754"/>
    <x v="33"/>
    <x v="0"/>
    <x v="0"/>
    <x v="1"/>
    <x v="19"/>
    <n v="0"/>
    <n v="4"/>
    <x v="1"/>
    <n v="1"/>
    <x v="2"/>
    <n v="0.2576"/>
    <x v="22"/>
    <n v="0"/>
    <x v="17"/>
    <x v="50"/>
    <x v="152"/>
  </r>
  <r>
    <n v="755"/>
    <x v="33"/>
    <x v="0"/>
    <x v="0"/>
    <x v="1"/>
    <x v="20"/>
    <n v="0"/>
    <n v="4"/>
    <x v="1"/>
    <n v="1"/>
    <x v="2"/>
    <n v="0.2273"/>
    <x v="19"/>
    <n v="8.9599999999999999E-2"/>
    <x v="5"/>
    <x v="123"/>
    <x v="142"/>
  </r>
  <r>
    <n v="756"/>
    <x v="33"/>
    <x v="0"/>
    <x v="0"/>
    <x v="1"/>
    <x v="21"/>
    <n v="0"/>
    <n v="4"/>
    <x v="1"/>
    <n v="1"/>
    <x v="15"/>
    <n v="0.21210000000000001"/>
    <x v="28"/>
    <n v="0.1045"/>
    <x v="5"/>
    <x v="42"/>
    <x v="60"/>
  </r>
  <r>
    <n v="757"/>
    <x v="33"/>
    <x v="0"/>
    <x v="0"/>
    <x v="1"/>
    <x v="22"/>
    <n v="0"/>
    <n v="4"/>
    <x v="1"/>
    <n v="1"/>
    <x v="15"/>
    <n v="0.21210000000000001"/>
    <x v="33"/>
    <n v="8.9599999999999999E-2"/>
    <x v="4"/>
    <x v="87"/>
    <x v="102"/>
  </r>
  <r>
    <n v="758"/>
    <x v="33"/>
    <x v="0"/>
    <x v="0"/>
    <x v="1"/>
    <x v="23"/>
    <n v="0"/>
    <n v="4"/>
    <x v="1"/>
    <n v="1"/>
    <x v="2"/>
    <n v="0.2273"/>
    <x v="19"/>
    <n v="0.1045"/>
    <x v="17"/>
    <x v="60"/>
    <x v="103"/>
  </r>
  <r>
    <n v="759"/>
    <x v="34"/>
    <x v="0"/>
    <x v="0"/>
    <x v="1"/>
    <x v="0"/>
    <n v="0"/>
    <n v="5"/>
    <x v="1"/>
    <n v="2"/>
    <x v="2"/>
    <n v="0.2576"/>
    <x v="18"/>
    <n v="0"/>
    <x v="0"/>
    <x v="3"/>
    <x v="3"/>
  </r>
  <r>
    <n v="760"/>
    <x v="34"/>
    <x v="0"/>
    <x v="0"/>
    <x v="1"/>
    <x v="1"/>
    <n v="0"/>
    <n v="5"/>
    <x v="1"/>
    <n v="2"/>
    <x v="13"/>
    <n v="0.2273"/>
    <x v="29"/>
    <n v="0"/>
    <x v="3"/>
    <x v="7"/>
    <x v="85"/>
  </r>
  <r>
    <n v="761"/>
    <x v="34"/>
    <x v="0"/>
    <x v="0"/>
    <x v="1"/>
    <x v="2"/>
    <n v="0"/>
    <n v="5"/>
    <x v="1"/>
    <n v="2"/>
    <x v="14"/>
    <n v="0.16669999999999999"/>
    <x v="30"/>
    <n v="0.1045"/>
    <x v="3"/>
    <x v="4"/>
    <x v="4"/>
  </r>
  <r>
    <n v="762"/>
    <x v="34"/>
    <x v="0"/>
    <x v="0"/>
    <x v="1"/>
    <x v="3"/>
    <n v="0"/>
    <n v="5"/>
    <x v="1"/>
    <n v="2"/>
    <x v="14"/>
    <n v="0.16669999999999999"/>
    <x v="30"/>
    <n v="0.1045"/>
    <x v="3"/>
    <x v="4"/>
    <x v="4"/>
  </r>
  <r>
    <n v="763"/>
    <x v="34"/>
    <x v="0"/>
    <x v="0"/>
    <x v="1"/>
    <x v="5"/>
    <n v="0"/>
    <n v="5"/>
    <x v="1"/>
    <n v="2"/>
    <x v="14"/>
    <n v="0.1515"/>
    <x v="30"/>
    <n v="0.1343"/>
    <x v="3"/>
    <x v="7"/>
    <x v="85"/>
  </r>
  <r>
    <n v="764"/>
    <x v="34"/>
    <x v="0"/>
    <x v="0"/>
    <x v="1"/>
    <x v="6"/>
    <n v="0"/>
    <n v="5"/>
    <x v="1"/>
    <n v="2"/>
    <x v="13"/>
    <n v="0.2273"/>
    <x v="28"/>
    <n v="0"/>
    <x v="4"/>
    <x v="16"/>
    <x v="20"/>
  </r>
  <r>
    <n v="765"/>
    <x v="34"/>
    <x v="0"/>
    <x v="0"/>
    <x v="1"/>
    <x v="7"/>
    <n v="0"/>
    <n v="5"/>
    <x v="1"/>
    <n v="1"/>
    <x v="14"/>
    <n v="0.21210000000000001"/>
    <x v="29"/>
    <n v="0"/>
    <x v="3"/>
    <x v="61"/>
    <x v="90"/>
  </r>
  <r>
    <n v="766"/>
    <x v="34"/>
    <x v="0"/>
    <x v="0"/>
    <x v="1"/>
    <x v="8"/>
    <n v="0"/>
    <n v="5"/>
    <x v="1"/>
    <n v="1"/>
    <x v="14"/>
    <n v="0.1515"/>
    <x v="32"/>
    <n v="0.1343"/>
    <x v="0"/>
    <x v="163"/>
    <x v="174"/>
  </r>
  <r>
    <n v="767"/>
    <x v="34"/>
    <x v="0"/>
    <x v="0"/>
    <x v="1"/>
    <x v="9"/>
    <n v="0"/>
    <n v="5"/>
    <x v="1"/>
    <n v="2"/>
    <x v="13"/>
    <n v="0.18179999999999999"/>
    <x v="1"/>
    <n v="0.1343"/>
    <x v="0"/>
    <x v="125"/>
    <x v="175"/>
  </r>
  <r>
    <n v="768"/>
    <x v="34"/>
    <x v="0"/>
    <x v="0"/>
    <x v="1"/>
    <x v="10"/>
    <n v="0"/>
    <n v="5"/>
    <x v="1"/>
    <n v="2"/>
    <x v="2"/>
    <n v="0.21210000000000001"/>
    <x v="33"/>
    <n v="0.1343"/>
    <x v="2"/>
    <x v="24"/>
    <x v="41"/>
  </r>
  <r>
    <n v="769"/>
    <x v="34"/>
    <x v="0"/>
    <x v="0"/>
    <x v="1"/>
    <x v="11"/>
    <n v="0"/>
    <n v="5"/>
    <x v="1"/>
    <n v="1"/>
    <x v="1"/>
    <n v="0.2273"/>
    <x v="33"/>
    <n v="0.16420000000000001"/>
    <x v="0"/>
    <x v="124"/>
    <x v="37"/>
  </r>
  <r>
    <n v="770"/>
    <x v="34"/>
    <x v="0"/>
    <x v="0"/>
    <x v="1"/>
    <x v="12"/>
    <n v="0"/>
    <n v="5"/>
    <x v="1"/>
    <n v="2"/>
    <x v="0"/>
    <n v="0.2424"/>
    <x v="37"/>
    <n v="0.16420000000000001"/>
    <x v="1"/>
    <x v="78"/>
    <x v="80"/>
  </r>
  <r>
    <n v="771"/>
    <x v="34"/>
    <x v="0"/>
    <x v="0"/>
    <x v="1"/>
    <x v="13"/>
    <n v="0"/>
    <n v="5"/>
    <x v="1"/>
    <n v="2"/>
    <x v="12"/>
    <n v="0.2576"/>
    <x v="20"/>
    <n v="0.22389999999999999"/>
    <x v="14"/>
    <x v="26"/>
    <x v="100"/>
  </r>
  <r>
    <n v="772"/>
    <x v="34"/>
    <x v="0"/>
    <x v="0"/>
    <x v="1"/>
    <x v="14"/>
    <n v="0"/>
    <n v="5"/>
    <x v="1"/>
    <n v="2"/>
    <x v="17"/>
    <n v="0.2727"/>
    <x v="49"/>
    <n v="0.16420000000000001"/>
    <x v="13"/>
    <x v="83"/>
    <x v="134"/>
  </r>
  <r>
    <n v="773"/>
    <x v="34"/>
    <x v="0"/>
    <x v="0"/>
    <x v="1"/>
    <x v="15"/>
    <n v="0"/>
    <n v="5"/>
    <x v="1"/>
    <n v="2"/>
    <x v="17"/>
    <n v="0.2727"/>
    <x v="37"/>
    <n v="0.25369999999999998"/>
    <x v="14"/>
    <x v="38"/>
    <x v="127"/>
  </r>
  <r>
    <n v="774"/>
    <x v="34"/>
    <x v="0"/>
    <x v="0"/>
    <x v="1"/>
    <x v="16"/>
    <n v="0"/>
    <n v="5"/>
    <x v="1"/>
    <n v="2"/>
    <x v="11"/>
    <n v="0.28789999999999999"/>
    <x v="16"/>
    <n v="0.22389999999999999"/>
    <x v="1"/>
    <x v="164"/>
    <x v="111"/>
  </r>
  <r>
    <n v="775"/>
    <x v="34"/>
    <x v="0"/>
    <x v="0"/>
    <x v="1"/>
    <x v="17"/>
    <n v="0"/>
    <n v="5"/>
    <x v="1"/>
    <n v="2"/>
    <x v="12"/>
    <n v="0.2727"/>
    <x v="34"/>
    <n v="0.1343"/>
    <x v="22"/>
    <x v="165"/>
    <x v="176"/>
  </r>
  <r>
    <n v="776"/>
    <x v="34"/>
    <x v="0"/>
    <x v="0"/>
    <x v="1"/>
    <x v="18"/>
    <n v="0"/>
    <n v="5"/>
    <x v="1"/>
    <n v="2"/>
    <x v="0"/>
    <n v="0.2576"/>
    <x v="54"/>
    <n v="0.1045"/>
    <x v="0"/>
    <x v="166"/>
    <x v="107"/>
  </r>
  <r>
    <n v="777"/>
    <x v="34"/>
    <x v="0"/>
    <x v="0"/>
    <x v="1"/>
    <x v="19"/>
    <n v="0"/>
    <n v="5"/>
    <x v="1"/>
    <n v="2"/>
    <x v="0"/>
    <n v="0.2424"/>
    <x v="55"/>
    <n v="0.1343"/>
    <x v="5"/>
    <x v="46"/>
    <x v="153"/>
  </r>
  <r>
    <n v="778"/>
    <x v="34"/>
    <x v="0"/>
    <x v="0"/>
    <x v="1"/>
    <x v="20"/>
    <n v="0"/>
    <n v="5"/>
    <x v="1"/>
    <n v="2"/>
    <x v="0"/>
    <n v="0.2424"/>
    <x v="55"/>
    <n v="0.16420000000000001"/>
    <x v="4"/>
    <x v="94"/>
    <x v="68"/>
  </r>
  <r>
    <n v="779"/>
    <x v="34"/>
    <x v="0"/>
    <x v="0"/>
    <x v="1"/>
    <x v="21"/>
    <n v="0"/>
    <n v="5"/>
    <x v="1"/>
    <n v="2"/>
    <x v="0"/>
    <n v="0.2424"/>
    <x v="56"/>
    <n v="0.16420000000000001"/>
    <x v="4"/>
    <x v="40"/>
    <x v="74"/>
  </r>
  <r>
    <n v="780"/>
    <x v="34"/>
    <x v="0"/>
    <x v="0"/>
    <x v="1"/>
    <x v="22"/>
    <n v="0"/>
    <n v="5"/>
    <x v="1"/>
    <n v="2"/>
    <x v="0"/>
    <n v="0.2424"/>
    <x v="55"/>
    <n v="0.16420000000000001"/>
    <x v="5"/>
    <x v="108"/>
    <x v="66"/>
  </r>
  <r>
    <n v="781"/>
    <x v="34"/>
    <x v="0"/>
    <x v="0"/>
    <x v="1"/>
    <x v="23"/>
    <n v="0"/>
    <n v="5"/>
    <x v="1"/>
    <n v="2"/>
    <x v="0"/>
    <n v="0.2424"/>
    <x v="56"/>
    <n v="0.1343"/>
    <x v="5"/>
    <x v="10"/>
    <x v="35"/>
  </r>
  <r>
    <n v="782"/>
    <x v="35"/>
    <x v="0"/>
    <x v="0"/>
    <x v="1"/>
    <x v="0"/>
    <n v="0"/>
    <n v="6"/>
    <x v="0"/>
    <n v="2"/>
    <x v="0"/>
    <n v="0.2424"/>
    <x v="56"/>
    <n v="0.16420000000000001"/>
    <x v="0"/>
    <x v="49"/>
    <x v="21"/>
  </r>
  <r>
    <n v="783"/>
    <x v="35"/>
    <x v="0"/>
    <x v="0"/>
    <x v="1"/>
    <x v="1"/>
    <n v="0"/>
    <n v="6"/>
    <x v="0"/>
    <n v="2"/>
    <x v="0"/>
    <n v="0.2424"/>
    <x v="55"/>
    <n v="0.16420000000000001"/>
    <x v="5"/>
    <x v="19"/>
    <x v="109"/>
  </r>
  <r>
    <n v="784"/>
    <x v="35"/>
    <x v="0"/>
    <x v="0"/>
    <x v="1"/>
    <x v="2"/>
    <n v="0"/>
    <n v="6"/>
    <x v="0"/>
    <n v="2"/>
    <x v="0"/>
    <n v="0.2424"/>
    <x v="2"/>
    <n v="0.16420000000000001"/>
    <x v="2"/>
    <x v="98"/>
    <x v="22"/>
  </r>
  <r>
    <n v="785"/>
    <x v="35"/>
    <x v="0"/>
    <x v="0"/>
    <x v="1"/>
    <x v="3"/>
    <n v="0"/>
    <n v="6"/>
    <x v="0"/>
    <n v="2"/>
    <x v="0"/>
    <n v="0.2424"/>
    <x v="2"/>
    <n v="0.16420000000000001"/>
    <x v="5"/>
    <x v="3"/>
    <x v="62"/>
  </r>
  <r>
    <n v="786"/>
    <x v="35"/>
    <x v="0"/>
    <x v="0"/>
    <x v="1"/>
    <x v="4"/>
    <n v="0"/>
    <n v="6"/>
    <x v="0"/>
    <n v="3"/>
    <x v="1"/>
    <n v="0.2273"/>
    <x v="43"/>
    <n v="0.1343"/>
    <x v="3"/>
    <x v="21"/>
    <x v="7"/>
  </r>
  <r>
    <n v="787"/>
    <x v="35"/>
    <x v="0"/>
    <x v="0"/>
    <x v="1"/>
    <x v="5"/>
    <n v="0"/>
    <n v="6"/>
    <x v="0"/>
    <n v="3"/>
    <x v="2"/>
    <n v="0.2273"/>
    <x v="11"/>
    <n v="8.9599999999999999E-2"/>
    <x v="3"/>
    <x v="33"/>
    <x v="23"/>
  </r>
  <r>
    <n v="788"/>
    <x v="35"/>
    <x v="0"/>
    <x v="0"/>
    <x v="1"/>
    <x v="6"/>
    <n v="0"/>
    <n v="6"/>
    <x v="0"/>
    <n v="3"/>
    <x v="2"/>
    <n v="0.2576"/>
    <x v="11"/>
    <n v="0"/>
    <x v="3"/>
    <x v="22"/>
    <x v="48"/>
  </r>
  <r>
    <n v="789"/>
    <x v="35"/>
    <x v="0"/>
    <x v="0"/>
    <x v="1"/>
    <x v="7"/>
    <n v="0"/>
    <n v="6"/>
    <x v="0"/>
    <n v="3"/>
    <x v="1"/>
    <n v="0.2576"/>
    <x v="43"/>
    <n v="8.9599999999999999E-2"/>
    <x v="3"/>
    <x v="22"/>
    <x v="48"/>
  </r>
  <r>
    <n v="790"/>
    <x v="35"/>
    <x v="0"/>
    <x v="0"/>
    <x v="1"/>
    <x v="8"/>
    <n v="0"/>
    <n v="6"/>
    <x v="0"/>
    <n v="3"/>
    <x v="2"/>
    <n v="0.2273"/>
    <x v="11"/>
    <n v="8.9599999999999999E-2"/>
    <x v="3"/>
    <x v="3"/>
    <x v="98"/>
  </r>
  <r>
    <n v="791"/>
    <x v="35"/>
    <x v="0"/>
    <x v="0"/>
    <x v="1"/>
    <x v="9"/>
    <n v="0"/>
    <n v="6"/>
    <x v="0"/>
    <n v="3"/>
    <x v="2"/>
    <n v="0.2273"/>
    <x v="11"/>
    <n v="8.9599999999999999E-2"/>
    <x v="0"/>
    <x v="19"/>
    <x v="25"/>
  </r>
  <r>
    <n v="792"/>
    <x v="35"/>
    <x v="0"/>
    <x v="0"/>
    <x v="1"/>
    <x v="10"/>
    <n v="0"/>
    <n v="6"/>
    <x v="0"/>
    <n v="3"/>
    <x v="2"/>
    <n v="0.21210000000000001"/>
    <x v="11"/>
    <n v="0.1343"/>
    <x v="0"/>
    <x v="17"/>
    <x v="19"/>
  </r>
  <r>
    <n v="793"/>
    <x v="35"/>
    <x v="0"/>
    <x v="0"/>
    <x v="1"/>
    <x v="11"/>
    <n v="0"/>
    <n v="6"/>
    <x v="0"/>
    <n v="3"/>
    <x v="1"/>
    <n v="0.2273"/>
    <x v="11"/>
    <n v="0.1343"/>
    <x v="5"/>
    <x v="24"/>
    <x v="105"/>
  </r>
  <r>
    <n v="794"/>
    <x v="35"/>
    <x v="0"/>
    <x v="0"/>
    <x v="1"/>
    <x v="12"/>
    <n v="0"/>
    <n v="6"/>
    <x v="0"/>
    <n v="3"/>
    <x v="1"/>
    <n v="0.2273"/>
    <x v="11"/>
    <n v="0.16420000000000001"/>
    <x v="22"/>
    <x v="76"/>
    <x v="46"/>
  </r>
  <r>
    <n v="795"/>
    <x v="35"/>
    <x v="0"/>
    <x v="0"/>
    <x v="1"/>
    <x v="13"/>
    <n v="0"/>
    <n v="6"/>
    <x v="0"/>
    <n v="3"/>
    <x v="1"/>
    <n v="0.2273"/>
    <x v="11"/>
    <n v="0.16420000000000001"/>
    <x v="22"/>
    <x v="133"/>
    <x v="44"/>
  </r>
  <r>
    <n v="796"/>
    <x v="35"/>
    <x v="0"/>
    <x v="0"/>
    <x v="1"/>
    <x v="14"/>
    <n v="0"/>
    <n v="6"/>
    <x v="0"/>
    <n v="3"/>
    <x v="1"/>
    <n v="0.2727"/>
    <x v="11"/>
    <n v="0"/>
    <x v="2"/>
    <x v="54"/>
    <x v="97"/>
  </r>
  <r>
    <n v="797"/>
    <x v="35"/>
    <x v="0"/>
    <x v="0"/>
    <x v="1"/>
    <x v="15"/>
    <n v="0"/>
    <n v="6"/>
    <x v="0"/>
    <n v="3"/>
    <x v="1"/>
    <n v="0.2727"/>
    <x v="11"/>
    <n v="0"/>
    <x v="16"/>
    <x v="47"/>
    <x v="122"/>
  </r>
  <r>
    <n v="798"/>
    <x v="35"/>
    <x v="0"/>
    <x v="0"/>
    <x v="1"/>
    <x v="16"/>
    <n v="0"/>
    <n v="6"/>
    <x v="0"/>
    <n v="3"/>
    <x v="1"/>
    <n v="0.2273"/>
    <x v="11"/>
    <n v="0.1343"/>
    <x v="1"/>
    <x v="36"/>
    <x v="68"/>
  </r>
  <r>
    <n v="799"/>
    <x v="35"/>
    <x v="0"/>
    <x v="0"/>
    <x v="1"/>
    <x v="17"/>
    <n v="0"/>
    <n v="6"/>
    <x v="0"/>
    <n v="2"/>
    <x v="0"/>
    <n v="0.21210000000000001"/>
    <x v="11"/>
    <n v="0.28360000000000002"/>
    <x v="24"/>
    <x v="27"/>
    <x v="53"/>
  </r>
  <r>
    <n v="800"/>
    <x v="35"/>
    <x v="0"/>
    <x v="0"/>
    <x v="1"/>
    <x v="18"/>
    <n v="0"/>
    <n v="6"/>
    <x v="0"/>
    <n v="2"/>
    <x v="17"/>
    <n v="0.2424"/>
    <x v="43"/>
    <n v="0.44779999999999998"/>
    <x v="4"/>
    <x v="38"/>
    <x v="56"/>
  </r>
  <r>
    <n v="801"/>
    <x v="35"/>
    <x v="0"/>
    <x v="0"/>
    <x v="1"/>
    <x v="19"/>
    <n v="0"/>
    <n v="6"/>
    <x v="0"/>
    <n v="2"/>
    <x v="17"/>
    <n v="0.2424"/>
    <x v="43"/>
    <n v="0.44779999999999998"/>
    <x v="15"/>
    <x v="78"/>
    <x v="11"/>
  </r>
  <r>
    <n v="802"/>
    <x v="35"/>
    <x v="0"/>
    <x v="0"/>
    <x v="1"/>
    <x v="20"/>
    <n v="0"/>
    <n v="6"/>
    <x v="0"/>
    <n v="1"/>
    <x v="11"/>
    <n v="0.28789999999999999"/>
    <x v="9"/>
    <n v="0.25369999999999998"/>
    <x v="2"/>
    <x v="27"/>
    <x v="83"/>
  </r>
  <r>
    <n v="803"/>
    <x v="35"/>
    <x v="0"/>
    <x v="0"/>
    <x v="1"/>
    <x v="21"/>
    <n v="0"/>
    <n v="6"/>
    <x v="0"/>
    <n v="1"/>
    <x v="12"/>
    <n v="0.2576"/>
    <x v="11"/>
    <n v="0.19400000000000001"/>
    <x v="0"/>
    <x v="42"/>
    <x v="10"/>
  </r>
  <r>
    <n v="804"/>
    <x v="35"/>
    <x v="0"/>
    <x v="0"/>
    <x v="1"/>
    <x v="22"/>
    <n v="0"/>
    <n v="6"/>
    <x v="0"/>
    <n v="1"/>
    <x v="12"/>
    <n v="0.2727"/>
    <x v="43"/>
    <n v="0.1343"/>
    <x v="4"/>
    <x v="30"/>
    <x v="79"/>
  </r>
  <r>
    <n v="805"/>
    <x v="35"/>
    <x v="0"/>
    <x v="0"/>
    <x v="1"/>
    <x v="23"/>
    <n v="0"/>
    <n v="6"/>
    <x v="0"/>
    <n v="1"/>
    <x v="12"/>
    <n v="0.2576"/>
    <x v="43"/>
    <n v="0.22389999999999999"/>
    <x v="18"/>
    <x v="15"/>
    <x v="29"/>
  </r>
  <r>
    <n v="806"/>
    <x v="36"/>
    <x v="0"/>
    <x v="0"/>
    <x v="1"/>
    <x v="0"/>
    <n v="0"/>
    <n v="0"/>
    <x v="0"/>
    <n v="1"/>
    <x v="12"/>
    <n v="0.2576"/>
    <x v="56"/>
    <n v="0.19400000000000001"/>
    <x v="4"/>
    <x v="53"/>
    <x v="21"/>
  </r>
  <r>
    <n v="807"/>
    <x v="36"/>
    <x v="0"/>
    <x v="0"/>
    <x v="1"/>
    <x v="1"/>
    <n v="0"/>
    <n v="0"/>
    <x v="0"/>
    <n v="1"/>
    <x v="12"/>
    <n v="0.2273"/>
    <x v="55"/>
    <n v="0.41789999999999999"/>
    <x v="17"/>
    <x v="71"/>
    <x v="40"/>
  </r>
  <r>
    <n v="808"/>
    <x v="36"/>
    <x v="0"/>
    <x v="0"/>
    <x v="1"/>
    <x v="2"/>
    <n v="0"/>
    <n v="0"/>
    <x v="0"/>
    <n v="1"/>
    <x v="12"/>
    <n v="0.2273"/>
    <x v="54"/>
    <n v="0.32840000000000003"/>
    <x v="3"/>
    <x v="32"/>
    <x v="25"/>
  </r>
  <r>
    <n v="809"/>
    <x v="36"/>
    <x v="0"/>
    <x v="0"/>
    <x v="1"/>
    <x v="3"/>
    <n v="0"/>
    <n v="0"/>
    <x v="0"/>
    <n v="1"/>
    <x v="12"/>
    <n v="0.28789999999999999"/>
    <x v="54"/>
    <n v="8.9599999999999999E-2"/>
    <x v="0"/>
    <x v="3"/>
    <x v="3"/>
  </r>
  <r>
    <n v="810"/>
    <x v="36"/>
    <x v="0"/>
    <x v="0"/>
    <x v="1"/>
    <x v="4"/>
    <n v="0"/>
    <n v="0"/>
    <x v="0"/>
    <n v="1"/>
    <x v="12"/>
    <n v="0.2273"/>
    <x v="54"/>
    <n v="0.35820000000000002"/>
    <x v="3"/>
    <x v="6"/>
    <x v="5"/>
  </r>
  <r>
    <n v="811"/>
    <x v="36"/>
    <x v="0"/>
    <x v="0"/>
    <x v="1"/>
    <x v="5"/>
    <n v="0"/>
    <n v="0"/>
    <x v="0"/>
    <n v="1"/>
    <x v="12"/>
    <n v="0.2576"/>
    <x v="54"/>
    <n v="0.22389999999999999"/>
    <x v="3"/>
    <x v="4"/>
    <x v="4"/>
  </r>
  <r>
    <n v="812"/>
    <x v="36"/>
    <x v="0"/>
    <x v="0"/>
    <x v="1"/>
    <x v="6"/>
    <n v="0"/>
    <n v="0"/>
    <x v="0"/>
    <n v="1"/>
    <x v="12"/>
    <n v="0.2576"/>
    <x v="54"/>
    <n v="0.22389999999999999"/>
    <x v="3"/>
    <x v="4"/>
    <x v="4"/>
  </r>
  <r>
    <n v="813"/>
    <x v="36"/>
    <x v="0"/>
    <x v="0"/>
    <x v="1"/>
    <x v="7"/>
    <n v="0"/>
    <n v="0"/>
    <x v="0"/>
    <n v="1"/>
    <x v="0"/>
    <n v="0.2424"/>
    <x v="55"/>
    <n v="0.16420000000000001"/>
    <x v="3"/>
    <x v="21"/>
    <x v="7"/>
  </r>
  <r>
    <n v="814"/>
    <x v="36"/>
    <x v="0"/>
    <x v="0"/>
    <x v="1"/>
    <x v="8"/>
    <n v="0"/>
    <n v="0"/>
    <x v="0"/>
    <n v="1"/>
    <x v="0"/>
    <n v="0.2576"/>
    <x v="55"/>
    <n v="0.1045"/>
    <x v="4"/>
    <x v="144"/>
    <x v="84"/>
  </r>
  <r>
    <n v="815"/>
    <x v="36"/>
    <x v="0"/>
    <x v="0"/>
    <x v="1"/>
    <x v="9"/>
    <n v="0"/>
    <n v="0"/>
    <x v="0"/>
    <n v="1"/>
    <x v="17"/>
    <n v="0.28789999999999999"/>
    <x v="34"/>
    <n v="0.1045"/>
    <x v="18"/>
    <x v="101"/>
    <x v="79"/>
  </r>
  <r>
    <n v="816"/>
    <x v="36"/>
    <x v="0"/>
    <x v="0"/>
    <x v="1"/>
    <x v="10"/>
    <n v="0"/>
    <n v="0"/>
    <x v="0"/>
    <n v="1"/>
    <x v="11"/>
    <n v="0.28789999999999999"/>
    <x v="35"/>
    <n v="0.25369999999999998"/>
    <x v="13"/>
    <x v="64"/>
    <x v="70"/>
  </r>
  <r>
    <n v="817"/>
    <x v="36"/>
    <x v="0"/>
    <x v="0"/>
    <x v="1"/>
    <x v="11"/>
    <n v="0"/>
    <n v="0"/>
    <x v="0"/>
    <n v="1"/>
    <x v="3"/>
    <n v="0.30299999999999999"/>
    <x v="36"/>
    <n v="0.25369999999999998"/>
    <x v="32"/>
    <x v="121"/>
    <x v="126"/>
  </r>
  <r>
    <n v="818"/>
    <x v="36"/>
    <x v="0"/>
    <x v="0"/>
    <x v="1"/>
    <x v="12"/>
    <n v="0"/>
    <n v="0"/>
    <x v="0"/>
    <n v="1"/>
    <x v="10"/>
    <n v="0.33329999999999999"/>
    <x v="15"/>
    <n v="0"/>
    <x v="33"/>
    <x v="167"/>
    <x v="177"/>
  </r>
  <r>
    <n v="819"/>
    <x v="36"/>
    <x v="0"/>
    <x v="0"/>
    <x v="1"/>
    <x v="13"/>
    <n v="0"/>
    <n v="0"/>
    <x v="0"/>
    <n v="1"/>
    <x v="10"/>
    <n v="0.36359999999999998"/>
    <x v="15"/>
    <n v="0"/>
    <x v="9"/>
    <x v="113"/>
    <x v="58"/>
  </r>
  <r>
    <n v="820"/>
    <x v="36"/>
    <x v="0"/>
    <x v="0"/>
    <x v="1"/>
    <x v="14"/>
    <n v="0"/>
    <n v="0"/>
    <x v="0"/>
    <n v="1"/>
    <x v="10"/>
    <n v="0.34849999999999998"/>
    <x v="15"/>
    <n v="8.9599999999999999E-2"/>
    <x v="9"/>
    <x v="156"/>
    <x v="143"/>
  </r>
  <r>
    <n v="821"/>
    <x v="36"/>
    <x v="0"/>
    <x v="0"/>
    <x v="1"/>
    <x v="15"/>
    <n v="0"/>
    <n v="0"/>
    <x v="0"/>
    <n v="1"/>
    <x v="10"/>
    <n v="0.34849999999999998"/>
    <x v="15"/>
    <n v="8.9599999999999999E-2"/>
    <x v="34"/>
    <x v="110"/>
    <x v="58"/>
  </r>
  <r>
    <n v="822"/>
    <x v="36"/>
    <x v="0"/>
    <x v="0"/>
    <x v="1"/>
    <x v="16"/>
    <n v="0"/>
    <n v="0"/>
    <x v="0"/>
    <n v="1"/>
    <x v="10"/>
    <n v="0.34849999999999998"/>
    <x v="36"/>
    <n v="0.1045"/>
    <x v="35"/>
    <x v="168"/>
    <x v="45"/>
  </r>
  <r>
    <n v="823"/>
    <x v="36"/>
    <x v="0"/>
    <x v="0"/>
    <x v="1"/>
    <x v="17"/>
    <n v="0"/>
    <n v="0"/>
    <x v="0"/>
    <n v="1"/>
    <x v="10"/>
    <n v="0.36359999999999998"/>
    <x v="15"/>
    <n v="0"/>
    <x v="31"/>
    <x v="106"/>
    <x v="178"/>
  </r>
  <r>
    <n v="824"/>
    <x v="36"/>
    <x v="0"/>
    <x v="0"/>
    <x v="1"/>
    <x v="18"/>
    <n v="0"/>
    <n v="0"/>
    <x v="0"/>
    <n v="1"/>
    <x v="11"/>
    <n v="0.30299999999999999"/>
    <x v="34"/>
    <n v="0.16420000000000001"/>
    <x v="23"/>
    <x v="65"/>
    <x v="53"/>
  </r>
  <r>
    <n v="825"/>
    <x v="36"/>
    <x v="0"/>
    <x v="0"/>
    <x v="1"/>
    <x v="19"/>
    <n v="0"/>
    <n v="0"/>
    <x v="0"/>
    <n v="1"/>
    <x v="17"/>
    <n v="0.28789999999999999"/>
    <x v="53"/>
    <n v="0.1343"/>
    <x v="5"/>
    <x v="32"/>
    <x v="137"/>
  </r>
  <r>
    <n v="826"/>
    <x v="36"/>
    <x v="0"/>
    <x v="0"/>
    <x v="1"/>
    <x v="20"/>
    <n v="0"/>
    <n v="0"/>
    <x v="0"/>
    <n v="1"/>
    <x v="17"/>
    <n v="0.28789999999999999"/>
    <x v="53"/>
    <n v="0.1045"/>
    <x v="2"/>
    <x v="144"/>
    <x v="132"/>
  </r>
  <r>
    <n v="827"/>
    <x v="36"/>
    <x v="0"/>
    <x v="0"/>
    <x v="1"/>
    <x v="21"/>
    <n v="0"/>
    <n v="0"/>
    <x v="0"/>
    <n v="1"/>
    <x v="12"/>
    <n v="0.30299999999999999"/>
    <x v="54"/>
    <n v="0"/>
    <x v="2"/>
    <x v="97"/>
    <x v="110"/>
  </r>
  <r>
    <n v="828"/>
    <x v="36"/>
    <x v="0"/>
    <x v="0"/>
    <x v="1"/>
    <x v="22"/>
    <n v="0"/>
    <n v="0"/>
    <x v="0"/>
    <n v="1"/>
    <x v="12"/>
    <n v="0.30299999999999999"/>
    <x v="54"/>
    <n v="0"/>
    <x v="2"/>
    <x v="77"/>
    <x v="69"/>
  </r>
  <r>
    <n v="829"/>
    <x v="36"/>
    <x v="0"/>
    <x v="0"/>
    <x v="1"/>
    <x v="23"/>
    <n v="0"/>
    <n v="0"/>
    <x v="0"/>
    <n v="1"/>
    <x v="0"/>
    <n v="0.28789999999999999"/>
    <x v="55"/>
    <n v="0"/>
    <x v="17"/>
    <x v="16"/>
    <x v="33"/>
  </r>
  <r>
    <n v="830"/>
    <x v="37"/>
    <x v="0"/>
    <x v="0"/>
    <x v="1"/>
    <x v="0"/>
    <n v="0"/>
    <n v="1"/>
    <x v="1"/>
    <n v="1"/>
    <x v="0"/>
    <n v="0.28789999999999999"/>
    <x v="55"/>
    <n v="0"/>
    <x v="5"/>
    <x v="88"/>
    <x v="93"/>
  </r>
  <r>
    <n v="831"/>
    <x v="37"/>
    <x v="0"/>
    <x v="0"/>
    <x v="1"/>
    <x v="1"/>
    <n v="0"/>
    <n v="1"/>
    <x v="1"/>
    <n v="1"/>
    <x v="1"/>
    <n v="0.2727"/>
    <x v="2"/>
    <n v="0"/>
    <x v="5"/>
    <x v="22"/>
    <x v="36"/>
  </r>
  <r>
    <n v="832"/>
    <x v="37"/>
    <x v="0"/>
    <x v="0"/>
    <x v="1"/>
    <x v="2"/>
    <n v="0"/>
    <n v="1"/>
    <x v="1"/>
    <n v="1"/>
    <x v="2"/>
    <n v="0.2576"/>
    <x v="1"/>
    <n v="0"/>
    <x v="3"/>
    <x v="35"/>
    <x v="6"/>
  </r>
  <r>
    <n v="833"/>
    <x v="37"/>
    <x v="0"/>
    <x v="0"/>
    <x v="1"/>
    <x v="3"/>
    <n v="0"/>
    <n v="1"/>
    <x v="1"/>
    <n v="1"/>
    <x v="2"/>
    <n v="0.2576"/>
    <x v="3"/>
    <n v="0"/>
    <x v="3"/>
    <x v="4"/>
    <x v="4"/>
  </r>
  <r>
    <n v="834"/>
    <x v="37"/>
    <x v="0"/>
    <x v="0"/>
    <x v="1"/>
    <x v="4"/>
    <n v="0"/>
    <n v="1"/>
    <x v="1"/>
    <n v="1"/>
    <x v="2"/>
    <n v="0.2576"/>
    <x v="3"/>
    <n v="0"/>
    <x v="5"/>
    <x v="4"/>
    <x v="5"/>
  </r>
  <r>
    <n v="835"/>
    <x v="37"/>
    <x v="0"/>
    <x v="0"/>
    <x v="1"/>
    <x v="5"/>
    <n v="0"/>
    <n v="1"/>
    <x v="1"/>
    <n v="1"/>
    <x v="2"/>
    <n v="0.2576"/>
    <x v="3"/>
    <n v="0"/>
    <x v="5"/>
    <x v="33"/>
    <x v="98"/>
  </r>
  <r>
    <n v="836"/>
    <x v="37"/>
    <x v="0"/>
    <x v="0"/>
    <x v="1"/>
    <x v="6"/>
    <n v="0"/>
    <n v="1"/>
    <x v="1"/>
    <n v="1"/>
    <x v="15"/>
    <n v="0.2424"/>
    <x v="43"/>
    <n v="0"/>
    <x v="5"/>
    <x v="31"/>
    <x v="33"/>
  </r>
  <r>
    <n v="837"/>
    <x v="37"/>
    <x v="0"/>
    <x v="0"/>
    <x v="1"/>
    <x v="7"/>
    <n v="0"/>
    <n v="1"/>
    <x v="1"/>
    <n v="1"/>
    <x v="15"/>
    <n v="0.2424"/>
    <x v="3"/>
    <n v="0"/>
    <x v="15"/>
    <x v="121"/>
    <x v="76"/>
  </r>
  <r>
    <n v="838"/>
    <x v="37"/>
    <x v="0"/>
    <x v="0"/>
    <x v="1"/>
    <x v="8"/>
    <n v="0"/>
    <n v="1"/>
    <x v="1"/>
    <n v="2"/>
    <x v="13"/>
    <n v="0.2273"/>
    <x v="11"/>
    <n v="0"/>
    <x v="18"/>
    <x v="169"/>
    <x v="179"/>
  </r>
  <r>
    <n v="839"/>
    <x v="37"/>
    <x v="0"/>
    <x v="0"/>
    <x v="1"/>
    <x v="9"/>
    <n v="0"/>
    <n v="1"/>
    <x v="1"/>
    <n v="1"/>
    <x v="1"/>
    <n v="0.2727"/>
    <x v="1"/>
    <n v="0"/>
    <x v="0"/>
    <x v="168"/>
    <x v="130"/>
  </r>
  <r>
    <n v="840"/>
    <x v="37"/>
    <x v="0"/>
    <x v="0"/>
    <x v="1"/>
    <x v="10"/>
    <n v="0"/>
    <n v="1"/>
    <x v="1"/>
    <n v="1"/>
    <x v="0"/>
    <n v="0.2576"/>
    <x v="2"/>
    <n v="0.1045"/>
    <x v="15"/>
    <x v="47"/>
    <x v="97"/>
  </r>
  <r>
    <n v="841"/>
    <x v="37"/>
    <x v="0"/>
    <x v="0"/>
    <x v="1"/>
    <x v="11"/>
    <n v="0"/>
    <n v="1"/>
    <x v="1"/>
    <n v="1"/>
    <x v="11"/>
    <n v="0.31819999999999998"/>
    <x v="55"/>
    <n v="8.9599999999999999E-2"/>
    <x v="16"/>
    <x v="49"/>
    <x v="105"/>
  </r>
  <r>
    <n v="842"/>
    <x v="37"/>
    <x v="0"/>
    <x v="0"/>
    <x v="1"/>
    <x v="12"/>
    <n v="0"/>
    <n v="1"/>
    <x v="1"/>
    <n v="2"/>
    <x v="3"/>
    <n v="0.34849999999999998"/>
    <x v="51"/>
    <n v="0"/>
    <x v="18"/>
    <x v="79"/>
    <x v="180"/>
  </r>
  <r>
    <n v="843"/>
    <x v="37"/>
    <x v="0"/>
    <x v="0"/>
    <x v="1"/>
    <x v="13"/>
    <n v="0"/>
    <n v="1"/>
    <x v="1"/>
    <n v="2"/>
    <x v="5"/>
    <n v="0.36359999999999998"/>
    <x v="14"/>
    <n v="8.9599999999999999E-2"/>
    <x v="22"/>
    <x v="25"/>
    <x v="37"/>
  </r>
  <r>
    <n v="844"/>
    <x v="37"/>
    <x v="0"/>
    <x v="0"/>
    <x v="1"/>
    <x v="14"/>
    <n v="0"/>
    <n v="1"/>
    <x v="1"/>
    <n v="2"/>
    <x v="5"/>
    <n v="0.36359999999999998"/>
    <x v="14"/>
    <n v="8.9599999999999999E-2"/>
    <x v="1"/>
    <x v="15"/>
    <x v="122"/>
  </r>
  <r>
    <n v="845"/>
    <x v="37"/>
    <x v="0"/>
    <x v="0"/>
    <x v="1"/>
    <x v="15"/>
    <n v="0"/>
    <n v="1"/>
    <x v="1"/>
    <n v="2"/>
    <x v="4"/>
    <n v="0.39389999999999997"/>
    <x v="47"/>
    <n v="8.9599999999999999E-2"/>
    <x v="17"/>
    <x v="24"/>
    <x v="89"/>
  </r>
  <r>
    <n v="846"/>
    <x v="37"/>
    <x v="0"/>
    <x v="0"/>
    <x v="1"/>
    <x v="16"/>
    <n v="0"/>
    <n v="1"/>
    <x v="1"/>
    <n v="2"/>
    <x v="5"/>
    <n v="0.34849999999999998"/>
    <x v="14"/>
    <n v="0.1343"/>
    <x v="19"/>
    <x v="52"/>
    <x v="181"/>
  </r>
  <r>
    <n v="847"/>
    <x v="37"/>
    <x v="0"/>
    <x v="0"/>
    <x v="1"/>
    <x v="17"/>
    <n v="0"/>
    <n v="1"/>
    <x v="1"/>
    <n v="2"/>
    <x v="3"/>
    <n v="0.31819999999999998"/>
    <x v="56"/>
    <n v="0.16420000000000001"/>
    <x v="14"/>
    <x v="134"/>
    <x v="182"/>
  </r>
  <r>
    <n v="848"/>
    <x v="37"/>
    <x v="0"/>
    <x v="0"/>
    <x v="1"/>
    <x v="18"/>
    <n v="0"/>
    <n v="1"/>
    <x v="1"/>
    <n v="2"/>
    <x v="10"/>
    <n v="0.33329999999999999"/>
    <x v="13"/>
    <n v="0.1343"/>
    <x v="2"/>
    <x v="162"/>
    <x v="172"/>
  </r>
  <r>
    <n v="849"/>
    <x v="37"/>
    <x v="0"/>
    <x v="0"/>
    <x v="1"/>
    <x v="19"/>
    <n v="0"/>
    <n v="1"/>
    <x v="1"/>
    <n v="2"/>
    <x v="3"/>
    <n v="0.34849999999999998"/>
    <x v="56"/>
    <n v="0"/>
    <x v="2"/>
    <x v="170"/>
    <x v="116"/>
  </r>
  <r>
    <n v="850"/>
    <x v="37"/>
    <x v="0"/>
    <x v="0"/>
    <x v="1"/>
    <x v="20"/>
    <n v="0"/>
    <n v="1"/>
    <x v="1"/>
    <n v="2"/>
    <x v="3"/>
    <n v="0.33329999999999999"/>
    <x v="56"/>
    <n v="0.1045"/>
    <x v="15"/>
    <x v="70"/>
    <x v="39"/>
  </r>
  <r>
    <n v="851"/>
    <x v="37"/>
    <x v="0"/>
    <x v="0"/>
    <x v="1"/>
    <x v="21"/>
    <n v="0"/>
    <n v="1"/>
    <x v="1"/>
    <n v="1"/>
    <x v="3"/>
    <n v="0.34849999999999998"/>
    <x v="56"/>
    <n v="0"/>
    <x v="0"/>
    <x v="102"/>
    <x v="53"/>
  </r>
  <r>
    <n v="852"/>
    <x v="37"/>
    <x v="0"/>
    <x v="0"/>
    <x v="1"/>
    <x v="22"/>
    <n v="0"/>
    <n v="1"/>
    <x v="1"/>
    <n v="1"/>
    <x v="17"/>
    <n v="0.30299999999999999"/>
    <x v="0"/>
    <n v="8.9599999999999999E-2"/>
    <x v="0"/>
    <x v="60"/>
    <x v="18"/>
  </r>
  <r>
    <n v="853"/>
    <x v="37"/>
    <x v="0"/>
    <x v="0"/>
    <x v="1"/>
    <x v="23"/>
    <n v="0"/>
    <n v="1"/>
    <x v="1"/>
    <n v="2"/>
    <x v="11"/>
    <n v="0.33329999999999999"/>
    <x v="0"/>
    <n v="0"/>
    <x v="15"/>
    <x v="23"/>
    <x v="94"/>
  </r>
  <r>
    <n v="854"/>
    <x v="38"/>
    <x v="0"/>
    <x v="0"/>
    <x v="1"/>
    <x v="0"/>
    <n v="0"/>
    <n v="2"/>
    <x v="1"/>
    <n v="2"/>
    <x v="17"/>
    <n v="0.31819999999999998"/>
    <x v="9"/>
    <n v="0"/>
    <x v="17"/>
    <x v="8"/>
    <x v="98"/>
  </r>
  <r>
    <n v="855"/>
    <x v="38"/>
    <x v="0"/>
    <x v="0"/>
    <x v="1"/>
    <x v="1"/>
    <n v="0"/>
    <n v="2"/>
    <x v="1"/>
    <n v="2"/>
    <x v="17"/>
    <n v="0.31819999999999998"/>
    <x v="9"/>
    <n v="0"/>
    <x v="3"/>
    <x v="22"/>
    <x v="48"/>
  </r>
  <r>
    <n v="856"/>
    <x v="38"/>
    <x v="0"/>
    <x v="0"/>
    <x v="1"/>
    <x v="2"/>
    <n v="0"/>
    <n v="2"/>
    <x v="1"/>
    <n v="2"/>
    <x v="12"/>
    <n v="0.2727"/>
    <x v="43"/>
    <n v="0.1045"/>
    <x v="5"/>
    <x v="4"/>
    <x v="5"/>
  </r>
  <r>
    <n v="857"/>
    <x v="38"/>
    <x v="0"/>
    <x v="0"/>
    <x v="1"/>
    <x v="3"/>
    <n v="0"/>
    <n v="2"/>
    <x v="1"/>
    <n v="3"/>
    <x v="17"/>
    <n v="0.2727"/>
    <x v="43"/>
    <n v="0.16420000000000001"/>
    <x v="3"/>
    <x v="4"/>
    <x v="4"/>
  </r>
  <r>
    <n v="858"/>
    <x v="38"/>
    <x v="0"/>
    <x v="0"/>
    <x v="1"/>
    <x v="4"/>
    <n v="0"/>
    <n v="2"/>
    <x v="1"/>
    <n v="1"/>
    <x v="12"/>
    <n v="0.2576"/>
    <x v="43"/>
    <n v="0.16420000000000001"/>
    <x v="3"/>
    <x v="35"/>
    <x v="6"/>
  </r>
  <r>
    <n v="859"/>
    <x v="38"/>
    <x v="0"/>
    <x v="0"/>
    <x v="1"/>
    <x v="5"/>
    <n v="0"/>
    <n v="2"/>
    <x v="1"/>
    <n v="1"/>
    <x v="12"/>
    <n v="0.2273"/>
    <x v="0"/>
    <n v="0.32840000000000003"/>
    <x v="3"/>
    <x v="6"/>
    <x v="5"/>
  </r>
  <r>
    <n v="860"/>
    <x v="38"/>
    <x v="0"/>
    <x v="0"/>
    <x v="1"/>
    <x v="6"/>
    <n v="0"/>
    <n v="2"/>
    <x v="1"/>
    <n v="1"/>
    <x v="12"/>
    <n v="0.2273"/>
    <x v="56"/>
    <n v="0.32840000000000003"/>
    <x v="3"/>
    <x v="87"/>
    <x v="21"/>
  </r>
  <r>
    <n v="861"/>
    <x v="38"/>
    <x v="0"/>
    <x v="0"/>
    <x v="1"/>
    <x v="7"/>
    <n v="0"/>
    <n v="2"/>
    <x v="1"/>
    <n v="1"/>
    <x v="0"/>
    <n v="0.19700000000000001"/>
    <x v="55"/>
    <n v="0.41789999999999999"/>
    <x v="0"/>
    <x v="106"/>
    <x v="50"/>
  </r>
  <r>
    <n v="862"/>
    <x v="38"/>
    <x v="0"/>
    <x v="0"/>
    <x v="1"/>
    <x v="8"/>
    <n v="0"/>
    <n v="2"/>
    <x v="1"/>
    <n v="1"/>
    <x v="0"/>
    <n v="0.19700000000000001"/>
    <x v="34"/>
    <n v="0.49249999999999999"/>
    <x v="18"/>
    <x v="171"/>
    <x v="183"/>
  </r>
  <r>
    <n v="863"/>
    <x v="38"/>
    <x v="0"/>
    <x v="0"/>
    <x v="1"/>
    <x v="9"/>
    <n v="0"/>
    <n v="2"/>
    <x v="1"/>
    <n v="1"/>
    <x v="0"/>
    <n v="0.19700000000000001"/>
    <x v="35"/>
    <n v="0.49249999999999999"/>
    <x v="18"/>
    <x v="172"/>
    <x v="169"/>
  </r>
  <r>
    <n v="864"/>
    <x v="38"/>
    <x v="0"/>
    <x v="0"/>
    <x v="1"/>
    <x v="10"/>
    <n v="0"/>
    <n v="2"/>
    <x v="1"/>
    <n v="1"/>
    <x v="1"/>
    <n v="0.18179999999999999"/>
    <x v="19"/>
    <n v="0.55220000000000002"/>
    <x v="17"/>
    <x v="100"/>
    <x v="61"/>
  </r>
  <r>
    <n v="865"/>
    <x v="38"/>
    <x v="0"/>
    <x v="0"/>
    <x v="1"/>
    <x v="11"/>
    <n v="0"/>
    <n v="2"/>
    <x v="1"/>
    <n v="1"/>
    <x v="1"/>
    <n v="0.18179999999999999"/>
    <x v="19"/>
    <n v="0.4627"/>
    <x v="5"/>
    <x v="47"/>
    <x v="89"/>
  </r>
  <r>
    <n v="866"/>
    <x v="38"/>
    <x v="0"/>
    <x v="0"/>
    <x v="1"/>
    <x v="12"/>
    <n v="0"/>
    <n v="2"/>
    <x v="1"/>
    <n v="1"/>
    <x v="0"/>
    <n v="0.19700000000000001"/>
    <x v="41"/>
    <n v="0.49249999999999999"/>
    <x v="4"/>
    <x v="36"/>
    <x v="32"/>
  </r>
  <r>
    <n v="867"/>
    <x v="38"/>
    <x v="0"/>
    <x v="0"/>
    <x v="1"/>
    <x v="13"/>
    <n v="0"/>
    <n v="2"/>
    <x v="1"/>
    <n v="2"/>
    <x v="0"/>
    <n v="0.19700000000000001"/>
    <x v="25"/>
    <n v="0.44779999999999998"/>
    <x v="4"/>
    <x v="41"/>
    <x v="89"/>
  </r>
  <r>
    <n v="868"/>
    <x v="38"/>
    <x v="0"/>
    <x v="0"/>
    <x v="1"/>
    <x v="14"/>
    <n v="0"/>
    <n v="2"/>
    <x v="1"/>
    <n v="1"/>
    <x v="1"/>
    <n v="0.19700000000000001"/>
    <x v="38"/>
    <n v="0.41789999999999999"/>
    <x v="0"/>
    <x v="124"/>
    <x v="37"/>
  </r>
  <r>
    <n v="869"/>
    <x v="38"/>
    <x v="0"/>
    <x v="0"/>
    <x v="1"/>
    <x v="15"/>
    <n v="0"/>
    <n v="2"/>
    <x v="1"/>
    <n v="1"/>
    <x v="1"/>
    <n v="0.19700000000000001"/>
    <x v="23"/>
    <n v="0.3881"/>
    <x v="15"/>
    <x v="108"/>
    <x v="41"/>
  </r>
  <r>
    <n v="870"/>
    <x v="38"/>
    <x v="0"/>
    <x v="0"/>
    <x v="1"/>
    <x v="16"/>
    <n v="0"/>
    <n v="2"/>
    <x v="1"/>
    <n v="1"/>
    <x v="1"/>
    <n v="0.18179999999999999"/>
    <x v="23"/>
    <n v="0.52239999999999998"/>
    <x v="17"/>
    <x v="55"/>
    <x v="56"/>
  </r>
  <r>
    <n v="871"/>
    <x v="38"/>
    <x v="0"/>
    <x v="0"/>
    <x v="1"/>
    <x v="17"/>
    <n v="0"/>
    <n v="2"/>
    <x v="1"/>
    <n v="1"/>
    <x v="1"/>
    <n v="0.18179999999999999"/>
    <x v="25"/>
    <n v="0.58209999999999995"/>
    <x v="17"/>
    <x v="157"/>
    <x v="170"/>
  </r>
  <r>
    <n v="872"/>
    <x v="38"/>
    <x v="0"/>
    <x v="0"/>
    <x v="1"/>
    <x v="18"/>
    <n v="0"/>
    <n v="2"/>
    <x v="1"/>
    <n v="1"/>
    <x v="2"/>
    <n v="0.18179999999999999"/>
    <x v="25"/>
    <n v="0.3881"/>
    <x v="5"/>
    <x v="137"/>
    <x v="148"/>
  </r>
  <r>
    <n v="873"/>
    <x v="38"/>
    <x v="0"/>
    <x v="0"/>
    <x v="1"/>
    <x v="19"/>
    <n v="0"/>
    <n v="2"/>
    <x v="1"/>
    <n v="1"/>
    <x v="13"/>
    <n v="0.1212"/>
    <x v="22"/>
    <n v="0.4627"/>
    <x v="5"/>
    <x v="129"/>
    <x v="129"/>
  </r>
  <r>
    <n v="874"/>
    <x v="38"/>
    <x v="0"/>
    <x v="0"/>
    <x v="1"/>
    <x v="20"/>
    <n v="0"/>
    <n v="2"/>
    <x v="1"/>
    <n v="1"/>
    <x v="13"/>
    <n v="0.13639999999999999"/>
    <x v="22"/>
    <n v="0.32840000000000003"/>
    <x v="0"/>
    <x v="42"/>
    <x v="10"/>
  </r>
  <r>
    <n v="875"/>
    <x v="38"/>
    <x v="0"/>
    <x v="0"/>
    <x v="1"/>
    <x v="21"/>
    <n v="0"/>
    <n v="2"/>
    <x v="1"/>
    <n v="1"/>
    <x v="14"/>
    <n v="0.1061"/>
    <x v="39"/>
    <n v="0.4627"/>
    <x v="1"/>
    <x v="24"/>
    <x v="60"/>
  </r>
  <r>
    <n v="876"/>
    <x v="38"/>
    <x v="0"/>
    <x v="0"/>
    <x v="1"/>
    <x v="22"/>
    <n v="0"/>
    <n v="2"/>
    <x v="1"/>
    <n v="1"/>
    <x v="16"/>
    <n v="0.1061"/>
    <x v="39"/>
    <n v="0.35820000000000002"/>
    <x v="3"/>
    <x v="31"/>
    <x v="115"/>
  </r>
  <r>
    <n v="877"/>
    <x v="38"/>
    <x v="0"/>
    <x v="0"/>
    <x v="1"/>
    <x v="23"/>
    <n v="0"/>
    <n v="2"/>
    <x v="1"/>
    <n v="1"/>
    <x v="16"/>
    <n v="0.1061"/>
    <x v="39"/>
    <n v="0.32840000000000003"/>
    <x v="0"/>
    <x v="33"/>
    <x v="47"/>
  </r>
  <r>
    <n v="878"/>
    <x v="39"/>
    <x v="0"/>
    <x v="0"/>
    <x v="1"/>
    <x v="0"/>
    <n v="0"/>
    <n v="3"/>
    <x v="1"/>
    <n v="1"/>
    <x v="18"/>
    <n v="7.5800000000000006E-2"/>
    <x v="42"/>
    <n v="0.35820000000000002"/>
    <x v="3"/>
    <x v="19"/>
    <x v="22"/>
  </r>
  <r>
    <n v="879"/>
    <x v="39"/>
    <x v="0"/>
    <x v="0"/>
    <x v="1"/>
    <x v="1"/>
    <n v="0"/>
    <n v="3"/>
    <x v="1"/>
    <n v="1"/>
    <x v="18"/>
    <n v="0.1061"/>
    <x v="42"/>
    <n v="0.22389999999999999"/>
    <x v="3"/>
    <x v="7"/>
    <x v="85"/>
  </r>
  <r>
    <n v="880"/>
    <x v="39"/>
    <x v="0"/>
    <x v="0"/>
    <x v="1"/>
    <x v="2"/>
    <n v="0"/>
    <n v="3"/>
    <x v="1"/>
    <n v="1"/>
    <x v="19"/>
    <n v="7.5800000000000006E-2"/>
    <x v="41"/>
    <n v="0.28360000000000002"/>
    <x v="5"/>
    <x v="6"/>
    <x v="6"/>
  </r>
  <r>
    <n v="881"/>
    <x v="39"/>
    <x v="0"/>
    <x v="0"/>
    <x v="1"/>
    <x v="3"/>
    <n v="0"/>
    <n v="3"/>
    <x v="1"/>
    <n v="1"/>
    <x v="20"/>
    <n v="7.5800000000000006E-2"/>
    <x v="49"/>
    <n v="0.1343"/>
    <x v="3"/>
    <x v="6"/>
    <x v="5"/>
  </r>
  <r>
    <n v="882"/>
    <x v="39"/>
    <x v="0"/>
    <x v="0"/>
    <x v="1"/>
    <x v="5"/>
    <n v="0"/>
    <n v="3"/>
    <x v="1"/>
    <n v="1"/>
    <x v="20"/>
    <n v="0.1061"/>
    <x v="49"/>
    <n v="0.1045"/>
    <x v="3"/>
    <x v="7"/>
    <x v="85"/>
  </r>
  <r>
    <n v="883"/>
    <x v="39"/>
    <x v="0"/>
    <x v="0"/>
    <x v="1"/>
    <x v="6"/>
    <n v="0"/>
    <n v="3"/>
    <x v="1"/>
    <n v="1"/>
    <x v="20"/>
    <n v="0.1515"/>
    <x v="49"/>
    <n v="0"/>
    <x v="3"/>
    <x v="30"/>
    <x v="74"/>
  </r>
  <r>
    <n v="884"/>
    <x v="39"/>
    <x v="0"/>
    <x v="0"/>
    <x v="1"/>
    <x v="7"/>
    <n v="0"/>
    <n v="3"/>
    <x v="1"/>
    <n v="1"/>
    <x v="20"/>
    <n v="0.1061"/>
    <x v="36"/>
    <n v="0.1045"/>
    <x v="17"/>
    <x v="73"/>
    <x v="111"/>
  </r>
  <r>
    <n v="885"/>
    <x v="39"/>
    <x v="0"/>
    <x v="0"/>
    <x v="1"/>
    <x v="8"/>
    <n v="0"/>
    <n v="3"/>
    <x v="1"/>
    <n v="1"/>
    <x v="18"/>
    <n v="0.13639999999999999"/>
    <x v="16"/>
    <n v="0"/>
    <x v="5"/>
    <x v="173"/>
    <x v="184"/>
  </r>
  <r>
    <n v="886"/>
    <x v="39"/>
    <x v="0"/>
    <x v="0"/>
    <x v="1"/>
    <x v="9"/>
    <n v="0"/>
    <n v="3"/>
    <x v="1"/>
    <n v="1"/>
    <x v="16"/>
    <n v="0.13639999999999999"/>
    <x v="17"/>
    <n v="0.16420000000000001"/>
    <x v="17"/>
    <x v="138"/>
    <x v="92"/>
  </r>
  <r>
    <n v="887"/>
    <x v="39"/>
    <x v="0"/>
    <x v="0"/>
    <x v="1"/>
    <x v="10"/>
    <n v="0"/>
    <n v="3"/>
    <x v="1"/>
    <n v="1"/>
    <x v="14"/>
    <n v="0.18179999999999999"/>
    <x v="42"/>
    <n v="0"/>
    <x v="1"/>
    <x v="82"/>
    <x v="29"/>
  </r>
  <r>
    <n v="888"/>
    <x v="39"/>
    <x v="0"/>
    <x v="0"/>
    <x v="1"/>
    <x v="11"/>
    <n v="0"/>
    <n v="3"/>
    <x v="1"/>
    <n v="2"/>
    <x v="14"/>
    <n v="0.1515"/>
    <x v="21"/>
    <n v="0.16420000000000001"/>
    <x v="5"/>
    <x v="71"/>
    <x v="102"/>
  </r>
  <r>
    <n v="889"/>
    <x v="39"/>
    <x v="0"/>
    <x v="0"/>
    <x v="1"/>
    <x v="12"/>
    <n v="0"/>
    <n v="3"/>
    <x v="1"/>
    <n v="2"/>
    <x v="15"/>
    <n v="0.18179999999999999"/>
    <x v="22"/>
    <n v="0.22389999999999999"/>
    <x v="17"/>
    <x v="77"/>
    <x v="42"/>
  </r>
  <r>
    <n v="890"/>
    <x v="39"/>
    <x v="0"/>
    <x v="0"/>
    <x v="1"/>
    <x v="13"/>
    <n v="0"/>
    <n v="3"/>
    <x v="1"/>
    <n v="1"/>
    <x v="15"/>
    <n v="0.16669999999999999"/>
    <x v="22"/>
    <n v="0.25369999999999998"/>
    <x v="4"/>
    <x v="28"/>
    <x v="83"/>
  </r>
  <r>
    <n v="891"/>
    <x v="39"/>
    <x v="0"/>
    <x v="0"/>
    <x v="1"/>
    <x v="14"/>
    <n v="0"/>
    <n v="3"/>
    <x v="1"/>
    <n v="1"/>
    <x v="2"/>
    <n v="0.18179999999999999"/>
    <x v="46"/>
    <n v="0.29849999999999999"/>
    <x v="4"/>
    <x v="90"/>
    <x v="154"/>
  </r>
  <r>
    <n v="892"/>
    <x v="39"/>
    <x v="0"/>
    <x v="0"/>
    <x v="1"/>
    <x v="15"/>
    <n v="0"/>
    <n v="3"/>
    <x v="1"/>
    <n v="2"/>
    <x v="2"/>
    <n v="0.18179999999999999"/>
    <x v="46"/>
    <n v="0.28360000000000002"/>
    <x v="0"/>
    <x v="124"/>
    <x v="37"/>
  </r>
  <r>
    <n v="893"/>
    <x v="39"/>
    <x v="0"/>
    <x v="0"/>
    <x v="1"/>
    <x v="16"/>
    <n v="0"/>
    <n v="3"/>
    <x v="1"/>
    <n v="2"/>
    <x v="2"/>
    <n v="0.19700000000000001"/>
    <x v="38"/>
    <n v="0.25369999999999998"/>
    <x v="18"/>
    <x v="109"/>
    <x v="67"/>
  </r>
  <r>
    <n v="894"/>
    <x v="39"/>
    <x v="0"/>
    <x v="0"/>
    <x v="1"/>
    <x v="17"/>
    <n v="0"/>
    <n v="3"/>
    <x v="1"/>
    <n v="2"/>
    <x v="2"/>
    <n v="0.19700000000000001"/>
    <x v="46"/>
    <n v="0.25369999999999998"/>
    <x v="14"/>
    <x v="174"/>
    <x v="150"/>
  </r>
  <r>
    <n v="895"/>
    <x v="39"/>
    <x v="0"/>
    <x v="0"/>
    <x v="1"/>
    <x v="18"/>
    <n v="0"/>
    <n v="3"/>
    <x v="1"/>
    <n v="2"/>
    <x v="15"/>
    <n v="0.16669999999999999"/>
    <x v="19"/>
    <n v="0.29849999999999999"/>
    <x v="4"/>
    <x v="175"/>
    <x v="185"/>
  </r>
  <r>
    <n v="896"/>
    <x v="39"/>
    <x v="0"/>
    <x v="0"/>
    <x v="1"/>
    <x v="19"/>
    <n v="0"/>
    <n v="3"/>
    <x v="1"/>
    <n v="3"/>
    <x v="14"/>
    <n v="0.1212"/>
    <x v="3"/>
    <n v="0.25369999999999998"/>
    <x v="5"/>
    <x v="61"/>
    <x v="39"/>
  </r>
  <r>
    <n v="897"/>
    <x v="39"/>
    <x v="0"/>
    <x v="0"/>
    <x v="1"/>
    <x v="20"/>
    <n v="0"/>
    <n v="3"/>
    <x v="1"/>
    <n v="3"/>
    <x v="14"/>
    <n v="0.1515"/>
    <x v="3"/>
    <n v="0.16420000000000001"/>
    <x v="3"/>
    <x v="151"/>
    <x v="11"/>
  </r>
  <r>
    <n v="898"/>
    <x v="39"/>
    <x v="0"/>
    <x v="0"/>
    <x v="1"/>
    <x v="21"/>
    <n v="0"/>
    <n v="3"/>
    <x v="1"/>
    <n v="2"/>
    <x v="14"/>
    <n v="0.1515"/>
    <x v="3"/>
    <n v="0.16420000000000001"/>
    <x v="3"/>
    <x v="93"/>
    <x v="56"/>
  </r>
  <r>
    <n v="899"/>
    <x v="39"/>
    <x v="0"/>
    <x v="0"/>
    <x v="1"/>
    <x v="22"/>
    <n v="0"/>
    <n v="3"/>
    <x v="1"/>
    <n v="3"/>
    <x v="13"/>
    <n v="0.16669999999999999"/>
    <x v="1"/>
    <n v="0.16420000000000001"/>
    <x v="17"/>
    <x v="76"/>
    <x v="66"/>
  </r>
  <r>
    <n v="900"/>
    <x v="39"/>
    <x v="0"/>
    <x v="0"/>
    <x v="1"/>
    <x v="23"/>
    <n v="0"/>
    <n v="3"/>
    <x v="1"/>
    <n v="3"/>
    <x v="13"/>
    <n v="0.1515"/>
    <x v="1"/>
    <n v="0.19400000000000001"/>
    <x v="3"/>
    <x v="53"/>
    <x v="18"/>
  </r>
  <r>
    <n v="901"/>
    <x v="40"/>
    <x v="0"/>
    <x v="0"/>
    <x v="1"/>
    <x v="0"/>
    <n v="0"/>
    <n v="4"/>
    <x v="1"/>
    <n v="3"/>
    <x v="14"/>
    <n v="0.13639999999999999"/>
    <x v="3"/>
    <n v="0.19400000000000001"/>
    <x v="3"/>
    <x v="20"/>
    <x v="0"/>
  </r>
  <r>
    <n v="902"/>
    <x v="40"/>
    <x v="0"/>
    <x v="0"/>
    <x v="1"/>
    <x v="1"/>
    <n v="0"/>
    <n v="4"/>
    <x v="1"/>
    <n v="3"/>
    <x v="14"/>
    <n v="0.1515"/>
    <x v="1"/>
    <n v="0.1343"/>
    <x v="3"/>
    <x v="7"/>
    <x v="85"/>
  </r>
  <r>
    <n v="903"/>
    <x v="40"/>
    <x v="0"/>
    <x v="0"/>
    <x v="1"/>
    <x v="2"/>
    <n v="0"/>
    <n v="4"/>
    <x v="1"/>
    <n v="3"/>
    <x v="14"/>
    <n v="0.1515"/>
    <x v="1"/>
    <n v="0.1343"/>
    <x v="3"/>
    <x v="35"/>
    <x v="6"/>
  </r>
  <r>
    <n v="904"/>
    <x v="40"/>
    <x v="0"/>
    <x v="0"/>
    <x v="1"/>
    <x v="4"/>
    <n v="0"/>
    <n v="4"/>
    <x v="1"/>
    <n v="2"/>
    <x v="14"/>
    <n v="0.13639999999999999"/>
    <x v="29"/>
    <n v="0.22389999999999999"/>
    <x v="3"/>
    <x v="4"/>
    <x v="4"/>
  </r>
  <r>
    <n v="905"/>
    <x v="40"/>
    <x v="0"/>
    <x v="0"/>
    <x v="1"/>
    <x v="5"/>
    <n v="0"/>
    <n v="4"/>
    <x v="1"/>
    <n v="2"/>
    <x v="16"/>
    <n v="0.1212"/>
    <x v="20"/>
    <n v="0.22389999999999999"/>
    <x v="3"/>
    <x v="8"/>
    <x v="24"/>
  </r>
  <r>
    <n v="906"/>
    <x v="40"/>
    <x v="0"/>
    <x v="0"/>
    <x v="1"/>
    <x v="6"/>
    <n v="0"/>
    <n v="4"/>
    <x v="1"/>
    <n v="2"/>
    <x v="16"/>
    <n v="0.1212"/>
    <x v="47"/>
    <n v="0.28360000000000002"/>
    <x v="3"/>
    <x v="16"/>
    <x v="132"/>
  </r>
  <r>
    <n v="907"/>
    <x v="40"/>
    <x v="0"/>
    <x v="0"/>
    <x v="1"/>
    <x v="7"/>
    <n v="0"/>
    <n v="4"/>
    <x v="1"/>
    <n v="1"/>
    <x v="18"/>
    <n v="7.5800000000000006E-2"/>
    <x v="20"/>
    <n v="0.41789999999999999"/>
    <x v="3"/>
    <x v="176"/>
    <x v="111"/>
  </r>
  <r>
    <n v="908"/>
    <x v="40"/>
    <x v="0"/>
    <x v="0"/>
    <x v="1"/>
    <x v="8"/>
    <n v="0"/>
    <n v="4"/>
    <x v="1"/>
    <n v="1"/>
    <x v="18"/>
    <n v="7.5800000000000006E-2"/>
    <x v="36"/>
    <n v="0.32840000000000003"/>
    <x v="2"/>
    <x v="177"/>
    <x v="106"/>
  </r>
  <r>
    <n v="909"/>
    <x v="40"/>
    <x v="0"/>
    <x v="0"/>
    <x v="1"/>
    <x v="9"/>
    <n v="0"/>
    <n v="4"/>
    <x v="1"/>
    <n v="1"/>
    <x v="16"/>
    <n v="0.1061"/>
    <x v="16"/>
    <n v="0.35820000000000002"/>
    <x v="5"/>
    <x v="178"/>
    <x v="78"/>
  </r>
  <r>
    <n v="910"/>
    <x v="40"/>
    <x v="0"/>
    <x v="0"/>
    <x v="1"/>
    <x v="10"/>
    <n v="0"/>
    <n v="4"/>
    <x v="1"/>
    <n v="1"/>
    <x v="16"/>
    <n v="0.1061"/>
    <x v="16"/>
    <n v="0.29849999999999999"/>
    <x v="5"/>
    <x v="60"/>
    <x v="17"/>
  </r>
  <r>
    <n v="911"/>
    <x v="40"/>
    <x v="0"/>
    <x v="0"/>
    <x v="1"/>
    <x v="11"/>
    <n v="0"/>
    <n v="4"/>
    <x v="1"/>
    <n v="1"/>
    <x v="14"/>
    <n v="0.1212"/>
    <x v="17"/>
    <n v="0.35820000000000002"/>
    <x v="5"/>
    <x v="100"/>
    <x v="79"/>
  </r>
  <r>
    <n v="912"/>
    <x v="40"/>
    <x v="0"/>
    <x v="0"/>
    <x v="1"/>
    <x v="12"/>
    <n v="0"/>
    <n v="4"/>
    <x v="1"/>
    <n v="1"/>
    <x v="13"/>
    <n v="0.13639999999999999"/>
    <x v="46"/>
    <n v="0.3881"/>
    <x v="17"/>
    <x v="65"/>
    <x v="83"/>
  </r>
  <r>
    <n v="913"/>
    <x v="40"/>
    <x v="0"/>
    <x v="0"/>
    <x v="1"/>
    <x v="13"/>
    <n v="0"/>
    <n v="4"/>
    <x v="1"/>
    <n v="1"/>
    <x v="15"/>
    <n v="0.16669999999999999"/>
    <x v="44"/>
    <n v="0.29849999999999999"/>
    <x v="0"/>
    <x v="79"/>
    <x v="69"/>
  </r>
  <r>
    <n v="914"/>
    <x v="40"/>
    <x v="0"/>
    <x v="0"/>
    <x v="1"/>
    <x v="14"/>
    <n v="0"/>
    <n v="4"/>
    <x v="1"/>
    <n v="1"/>
    <x v="2"/>
    <n v="0.18179999999999999"/>
    <x v="57"/>
    <n v="0.28360000000000002"/>
    <x v="15"/>
    <x v="76"/>
    <x v="61"/>
  </r>
  <r>
    <n v="915"/>
    <x v="40"/>
    <x v="0"/>
    <x v="0"/>
    <x v="1"/>
    <x v="15"/>
    <n v="0"/>
    <n v="4"/>
    <x v="1"/>
    <n v="1"/>
    <x v="2"/>
    <n v="0.19700000000000001"/>
    <x v="59"/>
    <n v="0.25369999999999998"/>
    <x v="3"/>
    <x v="54"/>
    <x v="89"/>
  </r>
  <r>
    <n v="916"/>
    <x v="40"/>
    <x v="0"/>
    <x v="0"/>
    <x v="1"/>
    <x v="16"/>
    <n v="0"/>
    <n v="4"/>
    <x v="1"/>
    <n v="1"/>
    <x v="2"/>
    <n v="0.18179999999999999"/>
    <x v="57"/>
    <n v="0.29849999999999999"/>
    <x v="17"/>
    <x v="83"/>
    <x v="138"/>
  </r>
  <r>
    <n v="917"/>
    <x v="40"/>
    <x v="0"/>
    <x v="0"/>
    <x v="1"/>
    <x v="17"/>
    <n v="0"/>
    <n v="4"/>
    <x v="1"/>
    <n v="1"/>
    <x v="15"/>
    <n v="0.18179999999999999"/>
    <x v="60"/>
    <n v="0.19400000000000001"/>
    <x v="15"/>
    <x v="136"/>
    <x v="186"/>
  </r>
  <r>
    <n v="918"/>
    <x v="40"/>
    <x v="0"/>
    <x v="0"/>
    <x v="1"/>
    <x v="18"/>
    <n v="0"/>
    <n v="4"/>
    <x v="1"/>
    <n v="1"/>
    <x v="13"/>
    <n v="0.18179999999999999"/>
    <x v="40"/>
    <n v="0.1343"/>
    <x v="0"/>
    <x v="174"/>
    <x v="187"/>
  </r>
  <r>
    <n v="919"/>
    <x v="40"/>
    <x v="0"/>
    <x v="0"/>
    <x v="1"/>
    <x v="19"/>
    <n v="0"/>
    <n v="4"/>
    <x v="1"/>
    <n v="1"/>
    <x v="14"/>
    <n v="0.16669999999999999"/>
    <x v="40"/>
    <n v="0.1045"/>
    <x v="4"/>
    <x v="59"/>
    <x v="59"/>
  </r>
  <r>
    <n v="920"/>
    <x v="40"/>
    <x v="0"/>
    <x v="0"/>
    <x v="1"/>
    <x v="20"/>
    <n v="0"/>
    <n v="4"/>
    <x v="1"/>
    <n v="1"/>
    <x v="14"/>
    <n v="0.18179999999999999"/>
    <x v="61"/>
    <n v="8.9599999999999999E-2"/>
    <x v="17"/>
    <x v="139"/>
    <x v="54"/>
  </r>
  <r>
    <n v="921"/>
    <x v="40"/>
    <x v="0"/>
    <x v="0"/>
    <x v="1"/>
    <x v="21"/>
    <n v="0"/>
    <n v="4"/>
    <x v="1"/>
    <n v="1"/>
    <x v="14"/>
    <n v="0.21210000000000001"/>
    <x v="17"/>
    <n v="0"/>
    <x v="4"/>
    <x v="14"/>
    <x v="44"/>
  </r>
  <r>
    <n v="922"/>
    <x v="40"/>
    <x v="0"/>
    <x v="0"/>
    <x v="1"/>
    <x v="22"/>
    <n v="0"/>
    <n v="4"/>
    <x v="1"/>
    <n v="1"/>
    <x v="16"/>
    <n v="0.19700000000000001"/>
    <x v="17"/>
    <n v="0"/>
    <x v="17"/>
    <x v="12"/>
    <x v="41"/>
  </r>
  <r>
    <n v="923"/>
    <x v="40"/>
    <x v="0"/>
    <x v="0"/>
    <x v="1"/>
    <x v="23"/>
    <n v="0"/>
    <n v="4"/>
    <x v="1"/>
    <n v="1"/>
    <x v="16"/>
    <n v="0.1515"/>
    <x v="16"/>
    <n v="0.1045"/>
    <x v="5"/>
    <x v="39"/>
    <x v="19"/>
  </r>
  <r>
    <n v="924"/>
    <x v="41"/>
    <x v="0"/>
    <x v="0"/>
    <x v="1"/>
    <x v="0"/>
    <n v="0"/>
    <n v="5"/>
    <x v="1"/>
    <n v="1"/>
    <x v="18"/>
    <n v="0.13639999999999999"/>
    <x v="36"/>
    <n v="0.1045"/>
    <x v="4"/>
    <x v="98"/>
    <x v="8"/>
  </r>
  <r>
    <n v="925"/>
    <x v="41"/>
    <x v="0"/>
    <x v="0"/>
    <x v="1"/>
    <x v="1"/>
    <n v="0"/>
    <n v="5"/>
    <x v="1"/>
    <n v="1"/>
    <x v="18"/>
    <n v="0.13639999999999999"/>
    <x v="47"/>
    <n v="8.9599999999999999E-2"/>
    <x v="5"/>
    <x v="8"/>
    <x v="85"/>
  </r>
  <r>
    <n v="926"/>
    <x v="41"/>
    <x v="0"/>
    <x v="0"/>
    <x v="1"/>
    <x v="2"/>
    <n v="0"/>
    <n v="5"/>
    <x v="1"/>
    <n v="1"/>
    <x v="18"/>
    <n v="0.13639999999999999"/>
    <x v="47"/>
    <n v="8.9599999999999999E-2"/>
    <x v="3"/>
    <x v="35"/>
    <x v="6"/>
  </r>
  <r>
    <n v="927"/>
    <x v="41"/>
    <x v="0"/>
    <x v="0"/>
    <x v="1"/>
    <x v="5"/>
    <n v="0"/>
    <n v="5"/>
    <x v="1"/>
    <n v="1"/>
    <x v="19"/>
    <n v="0.1212"/>
    <x v="30"/>
    <n v="8.9599999999999999E-2"/>
    <x v="3"/>
    <x v="22"/>
    <x v="48"/>
  </r>
  <r>
    <n v="928"/>
    <x v="41"/>
    <x v="0"/>
    <x v="0"/>
    <x v="1"/>
    <x v="6"/>
    <n v="0"/>
    <n v="5"/>
    <x v="1"/>
    <n v="1"/>
    <x v="18"/>
    <n v="0.18179999999999999"/>
    <x v="31"/>
    <n v="0"/>
    <x v="5"/>
    <x v="140"/>
    <x v="108"/>
  </r>
  <r>
    <n v="929"/>
    <x v="41"/>
    <x v="0"/>
    <x v="0"/>
    <x v="1"/>
    <x v="7"/>
    <n v="0"/>
    <n v="5"/>
    <x v="1"/>
    <n v="1"/>
    <x v="19"/>
    <n v="0.16669999999999999"/>
    <x v="62"/>
    <n v="0"/>
    <x v="5"/>
    <x v="26"/>
    <x v="30"/>
  </r>
  <r>
    <n v="930"/>
    <x v="41"/>
    <x v="0"/>
    <x v="0"/>
    <x v="1"/>
    <x v="8"/>
    <n v="0"/>
    <n v="5"/>
    <x v="1"/>
    <n v="1"/>
    <x v="18"/>
    <n v="0.1212"/>
    <x v="32"/>
    <n v="0.16420000000000001"/>
    <x v="17"/>
    <x v="179"/>
    <x v="182"/>
  </r>
  <r>
    <n v="931"/>
    <x v="41"/>
    <x v="0"/>
    <x v="0"/>
    <x v="1"/>
    <x v="9"/>
    <n v="0"/>
    <n v="5"/>
    <x v="1"/>
    <n v="1"/>
    <x v="16"/>
    <n v="0.1212"/>
    <x v="32"/>
    <n v="0.22389999999999999"/>
    <x v="1"/>
    <x v="126"/>
    <x v="188"/>
  </r>
  <r>
    <n v="932"/>
    <x v="41"/>
    <x v="0"/>
    <x v="0"/>
    <x v="1"/>
    <x v="10"/>
    <n v="0"/>
    <n v="5"/>
    <x v="1"/>
    <n v="1"/>
    <x v="14"/>
    <n v="0.13639999999999999"/>
    <x v="27"/>
    <n v="0.19400000000000001"/>
    <x v="2"/>
    <x v="87"/>
    <x v="40"/>
  </r>
  <r>
    <n v="933"/>
    <x v="41"/>
    <x v="0"/>
    <x v="0"/>
    <x v="1"/>
    <x v="11"/>
    <n v="0"/>
    <n v="5"/>
    <x v="1"/>
    <n v="1"/>
    <x v="1"/>
    <n v="0.2273"/>
    <x v="19"/>
    <n v="0.1343"/>
    <x v="6"/>
    <x v="15"/>
    <x v="37"/>
  </r>
  <r>
    <n v="934"/>
    <x v="41"/>
    <x v="0"/>
    <x v="0"/>
    <x v="1"/>
    <x v="12"/>
    <n v="0"/>
    <n v="5"/>
    <x v="1"/>
    <n v="1"/>
    <x v="1"/>
    <n v="0.2273"/>
    <x v="19"/>
    <n v="0.1343"/>
    <x v="18"/>
    <x v="27"/>
    <x v="68"/>
  </r>
  <r>
    <n v="935"/>
    <x v="41"/>
    <x v="0"/>
    <x v="0"/>
    <x v="1"/>
    <x v="13"/>
    <n v="0"/>
    <n v="5"/>
    <x v="1"/>
    <n v="1"/>
    <x v="0"/>
    <n v="0.2273"/>
    <x v="23"/>
    <n v="0.19400000000000001"/>
    <x v="27"/>
    <x v="121"/>
    <x v="14"/>
  </r>
  <r>
    <n v="936"/>
    <x v="41"/>
    <x v="0"/>
    <x v="0"/>
    <x v="1"/>
    <x v="14"/>
    <n v="0"/>
    <n v="5"/>
    <x v="1"/>
    <n v="1"/>
    <x v="11"/>
    <n v="0.28789999999999999"/>
    <x v="60"/>
    <n v="0.25369999999999998"/>
    <x v="26"/>
    <x v="28"/>
    <x v="11"/>
  </r>
  <r>
    <n v="937"/>
    <x v="41"/>
    <x v="0"/>
    <x v="0"/>
    <x v="1"/>
    <x v="15"/>
    <n v="0"/>
    <n v="5"/>
    <x v="1"/>
    <n v="1"/>
    <x v="3"/>
    <n v="0.31819999999999998"/>
    <x v="58"/>
    <n v="0.16420000000000001"/>
    <x v="6"/>
    <x v="133"/>
    <x v="30"/>
  </r>
  <r>
    <n v="938"/>
    <x v="41"/>
    <x v="0"/>
    <x v="0"/>
    <x v="1"/>
    <x v="16"/>
    <n v="0"/>
    <n v="5"/>
    <x v="1"/>
    <n v="1"/>
    <x v="11"/>
    <n v="0.28789999999999999"/>
    <x v="40"/>
    <n v="0.19400000000000001"/>
    <x v="24"/>
    <x v="180"/>
    <x v="139"/>
  </r>
  <r>
    <n v="939"/>
    <x v="41"/>
    <x v="0"/>
    <x v="0"/>
    <x v="1"/>
    <x v="17"/>
    <n v="0"/>
    <n v="5"/>
    <x v="1"/>
    <n v="1"/>
    <x v="11"/>
    <n v="0.33329999999999999"/>
    <x v="63"/>
    <n v="0"/>
    <x v="25"/>
    <x v="181"/>
    <x v="189"/>
  </r>
  <r>
    <n v="940"/>
    <x v="41"/>
    <x v="0"/>
    <x v="0"/>
    <x v="1"/>
    <x v="18"/>
    <n v="0"/>
    <n v="5"/>
    <x v="1"/>
    <n v="1"/>
    <x v="17"/>
    <n v="0.31819999999999998"/>
    <x v="40"/>
    <n v="0"/>
    <x v="14"/>
    <x v="158"/>
    <x v="177"/>
  </r>
  <r>
    <n v="941"/>
    <x v="41"/>
    <x v="0"/>
    <x v="0"/>
    <x v="1"/>
    <x v="19"/>
    <n v="0"/>
    <n v="5"/>
    <x v="1"/>
    <n v="1"/>
    <x v="12"/>
    <n v="0.30299999999999999"/>
    <x v="39"/>
    <n v="0"/>
    <x v="18"/>
    <x v="111"/>
    <x v="129"/>
  </r>
  <r>
    <n v="942"/>
    <x v="41"/>
    <x v="0"/>
    <x v="0"/>
    <x v="1"/>
    <x v="20"/>
    <n v="0"/>
    <n v="5"/>
    <x v="1"/>
    <n v="1"/>
    <x v="1"/>
    <n v="0.2273"/>
    <x v="28"/>
    <n v="0.1343"/>
    <x v="4"/>
    <x v="124"/>
    <x v="55"/>
  </r>
  <r>
    <n v="943"/>
    <x v="41"/>
    <x v="0"/>
    <x v="0"/>
    <x v="1"/>
    <x v="21"/>
    <n v="0"/>
    <n v="5"/>
    <x v="1"/>
    <n v="1"/>
    <x v="2"/>
    <n v="0.21210000000000001"/>
    <x v="29"/>
    <n v="0.1343"/>
    <x v="5"/>
    <x v="24"/>
    <x v="105"/>
  </r>
  <r>
    <n v="944"/>
    <x v="41"/>
    <x v="0"/>
    <x v="0"/>
    <x v="1"/>
    <x v="22"/>
    <n v="0"/>
    <n v="5"/>
    <x v="1"/>
    <n v="1"/>
    <x v="2"/>
    <n v="0.2273"/>
    <x v="26"/>
    <n v="8.9599999999999999E-2"/>
    <x v="4"/>
    <x v="40"/>
    <x v="74"/>
  </r>
  <r>
    <n v="945"/>
    <x v="41"/>
    <x v="0"/>
    <x v="0"/>
    <x v="1"/>
    <x v="23"/>
    <n v="0"/>
    <n v="5"/>
    <x v="1"/>
    <n v="1"/>
    <x v="15"/>
    <n v="0.2424"/>
    <x v="27"/>
    <n v="0"/>
    <x v="2"/>
    <x v="41"/>
    <x v="26"/>
  </r>
  <r>
    <n v="946"/>
    <x v="42"/>
    <x v="0"/>
    <x v="0"/>
    <x v="1"/>
    <x v="0"/>
    <n v="0"/>
    <n v="6"/>
    <x v="0"/>
    <n v="1"/>
    <x v="13"/>
    <n v="0.19700000000000001"/>
    <x v="27"/>
    <n v="8.9599999999999999E-2"/>
    <x v="0"/>
    <x v="2"/>
    <x v="33"/>
  </r>
  <r>
    <n v="947"/>
    <x v="42"/>
    <x v="0"/>
    <x v="0"/>
    <x v="1"/>
    <x v="1"/>
    <n v="0"/>
    <n v="6"/>
    <x v="0"/>
    <n v="1"/>
    <x v="14"/>
    <n v="0.21210000000000001"/>
    <x v="3"/>
    <n v="0"/>
    <x v="4"/>
    <x v="97"/>
    <x v="108"/>
  </r>
  <r>
    <n v="948"/>
    <x v="42"/>
    <x v="0"/>
    <x v="0"/>
    <x v="1"/>
    <x v="2"/>
    <n v="0"/>
    <n v="6"/>
    <x v="0"/>
    <n v="1"/>
    <x v="14"/>
    <n v="0.21210000000000001"/>
    <x v="1"/>
    <n v="0"/>
    <x v="4"/>
    <x v="0"/>
    <x v="93"/>
  </r>
  <r>
    <n v="949"/>
    <x v="42"/>
    <x v="0"/>
    <x v="0"/>
    <x v="1"/>
    <x v="3"/>
    <n v="0"/>
    <n v="6"/>
    <x v="0"/>
    <n v="1"/>
    <x v="16"/>
    <n v="0.19700000000000001"/>
    <x v="1"/>
    <n v="0"/>
    <x v="0"/>
    <x v="7"/>
    <x v="98"/>
  </r>
  <r>
    <n v="950"/>
    <x v="42"/>
    <x v="0"/>
    <x v="0"/>
    <x v="1"/>
    <x v="4"/>
    <n v="0"/>
    <n v="6"/>
    <x v="0"/>
    <n v="1"/>
    <x v="16"/>
    <n v="0.16669999999999999"/>
    <x v="32"/>
    <n v="8.9599999999999999E-2"/>
    <x v="3"/>
    <x v="22"/>
    <x v="48"/>
  </r>
  <r>
    <n v="951"/>
    <x v="42"/>
    <x v="0"/>
    <x v="0"/>
    <x v="1"/>
    <x v="5"/>
    <n v="0"/>
    <n v="6"/>
    <x v="0"/>
    <n v="1"/>
    <x v="16"/>
    <n v="0.16669999999999999"/>
    <x v="32"/>
    <n v="8.9599999999999999E-2"/>
    <x v="3"/>
    <x v="4"/>
    <x v="4"/>
  </r>
  <r>
    <n v="952"/>
    <x v="42"/>
    <x v="0"/>
    <x v="0"/>
    <x v="1"/>
    <x v="6"/>
    <n v="0"/>
    <n v="6"/>
    <x v="0"/>
    <n v="1"/>
    <x v="16"/>
    <n v="0.13639999999999999"/>
    <x v="43"/>
    <n v="0.19400000000000001"/>
    <x v="5"/>
    <x v="4"/>
    <x v="5"/>
  </r>
  <r>
    <n v="953"/>
    <x v="42"/>
    <x v="0"/>
    <x v="0"/>
    <x v="1"/>
    <x v="7"/>
    <n v="0"/>
    <n v="6"/>
    <x v="0"/>
    <n v="1"/>
    <x v="16"/>
    <n v="0.1515"/>
    <x v="1"/>
    <n v="0.1045"/>
    <x v="4"/>
    <x v="33"/>
    <x v="62"/>
  </r>
  <r>
    <n v="954"/>
    <x v="42"/>
    <x v="0"/>
    <x v="0"/>
    <x v="1"/>
    <x v="8"/>
    <n v="0"/>
    <n v="6"/>
    <x v="0"/>
    <n v="1"/>
    <x v="14"/>
    <n v="0.1515"/>
    <x v="3"/>
    <n v="0.1343"/>
    <x v="4"/>
    <x v="95"/>
    <x v="33"/>
  </r>
  <r>
    <n v="955"/>
    <x v="42"/>
    <x v="0"/>
    <x v="0"/>
    <x v="1"/>
    <x v="9"/>
    <n v="0"/>
    <n v="6"/>
    <x v="0"/>
    <n v="1"/>
    <x v="13"/>
    <n v="0.18179999999999999"/>
    <x v="26"/>
    <n v="0.1343"/>
    <x v="2"/>
    <x v="101"/>
    <x v="74"/>
  </r>
  <r>
    <n v="956"/>
    <x v="42"/>
    <x v="0"/>
    <x v="0"/>
    <x v="1"/>
    <x v="10"/>
    <n v="0"/>
    <n v="6"/>
    <x v="0"/>
    <n v="1"/>
    <x v="1"/>
    <n v="0.21210000000000001"/>
    <x v="48"/>
    <n v="0.25369999999999998"/>
    <x v="23"/>
    <x v="13"/>
    <x v="11"/>
  </r>
  <r>
    <n v="957"/>
    <x v="42"/>
    <x v="0"/>
    <x v="0"/>
    <x v="1"/>
    <x v="11"/>
    <n v="0"/>
    <n v="6"/>
    <x v="0"/>
    <n v="1"/>
    <x v="11"/>
    <n v="0.2727"/>
    <x v="40"/>
    <n v="0.32840000000000003"/>
    <x v="36"/>
    <x v="151"/>
    <x v="181"/>
  </r>
  <r>
    <n v="958"/>
    <x v="42"/>
    <x v="0"/>
    <x v="0"/>
    <x v="1"/>
    <x v="12"/>
    <n v="0"/>
    <n v="6"/>
    <x v="0"/>
    <n v="1"/>
    <x v="11"/>
    <n v="0.2727"/>
    <x v="17"/>
    <n v="0.4627"/>
    <x v="37"/>
    <x v="139"/>
    <x v="151"/>
  </r>
  <r>
    <n v="959"/>
    <x v="42"/>
    <x v="0"/>
    <x v="0"/>
    <x v="1"/>
    <x v="13"/>
    <n v="0"/>
    <n v="6"/>
    <x v="0"/>
    <n v="1"/>
    <x v="11"/>
    <n v="0.2727"/>
    <x v="17"/>
    <n v="0.41789999999999999"/>
    <x v="38"/>
    <x v="145"/>
    <x v="169"/>
  </r>
  <r>
    <n v="960"/>
    <x v="42"/>
    <x v="0"/>
    <x v="0"/>
    <x v="1"/>
    <x v="14"/>
    <n v="0"/>
    <n v="6"/>
    <x v="0"/>
    <n v="1"/>
    <x v="10"/>
    <n v="0.31819999999999998"/>
    <x v="61"/>
    <n v="0.28360000000000002"/>
    <x v="36"/>
    <x v="92"/>
    <x v="151"/>
  </r>
  <r>
    <n v="961"/>
    <x v="42"/>
    <x v="0"/>
    <x v="0"/>
    <x v="1"/>
    <x v="15"/>
    <n v="0"/>
    <n v="6"/>
    <x v="0"/>
    <n v="1"/>
    <x v="10"/>
    <n v="0.30299999999999999"/>
    <x v="44"/>
    <n v="0.41789999999999999"/>
    <x v="9"/>
    <x v="69"/>
    <x v="177"/>
  </r>
  <r>
    <n v="962"/>
    <x v="42"/>
    <x v="0"/>
    <x v="0"/>
    <x v="1"/>
    <x v="16"/>
    <n v="0"/>
    <n v="6"/>
    <x v="0"/>
    <n v="1"/>
    <x v="10"/>
    <n v="0.30299999999999999"/>
    <x v="44"/>
    <n v="0.41789999999999999"/>
    <x v="35"/>
    <x v="145"/>
    <x v="190"/>
  </r>
  <r>
    <n v="963"/>
    <x v="42"/>
    <x v="0"/>
    <x v="0"/>
    <x v="1"/>
    <x v="17"/>
    <n v="0"/>
    <n v="6"/>
    <x v="0"/>
    <n v="1"/>
    <x v="3"/>
    <n v="0.28789999999999999"/>
    <x v="61"/>
    <n v="0.52239999999999998"/>
    <x v="31"/>
    <x v="182"/>
    <x v="120"/>
  </r>
  <r>
    <n v="964"/>
    <x v="42"/>
    <x v="0"/>
    <x v="0"/>
    <x v="1"/>
    <x v="18"/>
    <n v="0"/>
    <n v="6"/>
    <x v="0"/>
    <n v="1"/>
    <x v="17"/>
    <n v="0.2576"/>
    <x v="41"/>
    <n v="0.32840000000000003"/>
    <x v="17"/>
    <x v="91"/>
    <x v="37"/>
  </r>
  <r>
    <n v="965"/>
    <x v="42"/>
    <x v="0"/>
    <x v="0"/>
    <x v="1"/>
    <x v="19"/>
    <n v="0"/>
    <n v="6"/>
    <x v="0"/>
    <n v="1"/>
    <x v="17"/>
    <n v="0.2727"/>
    <x v="41"/>
    <n v="0.16420000000000001"/>
    <x v="4"/>
    <x v="87"/>
    <x v="102"/>
  </r>
  <r>
    <n v="966"/>
    <x v="42"/>
    <x v="0"/>
    <x v="0"/>
    <x v="1"/>
    <x v="20"/>
    <n v="0"/>
    <n v="6"/>
    <x v="0"/>
    <n v="1"/>
    <x v="12"/>
    <n v="0.2576"/>
    <x v="48"/>
    <n v="0.22389999999999999"/>
    <x v="5"/>
    <x v="87"/>
    <x v="1"/>
  </r>
  <r>
    <n v="967"/>
    <x v="42"/>
    <x v="0"/>
    <x v="0"/>
    <x v="1"/>
    <x v="21"/>
    <n v="0"/>
    <n v="6"/>
    <x v="0"/>
    <n v="1"/>
    <x v="12"/>
    <n v="0.30299999999999999"/>
    <x v="48"/>
    <n v="0"/>
    <x v="14"/>
    <x v="76"/>
    <x v="41"/>
  </r>
  <r>
    <n v="968"/>
    <x v="42"/>
    <x v="0"/>
    <x v="0"/>
    <x v="1"/>
    <x v="22"/>
    <n v="0"/>
    <n v="6"/>
    <x v="0"/>
    <n v="1"/>
    <x v="0"/>
    <n v="0.2576"/>
    <x v="18"/>
    <n v="8.9599999999999999E-2"/>
    <x v="15"/>
    <x v="87"/>
    <x v="79"/>
  </r>
  <r>
    <n v="969"/>
    <x v="42"/>
    <x v="0"/>
    <x v="0"/>
    <x v="1"/>
    <x v="23"/>
    <n v="0"/>
    <n v="6"/>
    <x v="0"/>
    <n v="1"/>
    <x v="1"/>
    <n v="0.2273"/>
    <x v="33"/>
    <n v="0.1343"/>
    <x v="5"/>
    <x v="17"/>
    <x v="2"/>
  </r>
  <r>
    <n v="970"/>
    <x v="43"/>
    <x v="0"/>
    <x v="0"/>
    <x v="1"/>
    <x v="0"/>
    <n v="0"/>
    <n v="0"/>
    <x v="0"/>
    <n v="1"/>
    <x v="2"/>
    <n v="0.2273"/>
    <x v="26"/>
    <n v="0.1045"/>
    <x v="2"/>
    <x v="60"/>
    <x v="21"/>
  </r>
  <r>
    <n v="971"/>
    <x v="43"/>
    <x v="0"/>
    <x v="0"/>
    <x v="1"/>
    <x v="1"/>
    <n v="0"/>
    <n v="0"/>
    <x v="0"/>
    <n v="1"/>
    <x v="2"/>
    <n v="0.2273"/>
    <x v="29"/>
    <n v="8.9599999999999999E-2"/>
    <x v="5"/>
    <x v="140"/>
    <x v="108"/>
  </r>
  <r>
    <n v="972"/>
    <x v="43"/>
    <x v="0"/>
    <x v="0"/>
    <x v="1"/>
    <x v="2"/>
    <n v="0"/>
    <n v="0"/>
    <x v="0"/>
    <n v="2"/>
    <x v="2"/>
    <n v="0.2273"/>
    <x v="2"/>
    <n v="8.9599999999999999E-2"/>
    <x v="5"/>
    <x v="23"/>
    <x v="25"/>
  </r>
  <r>
    <n v="973"/>
    <x v="43"/>
    <x v="0"/>
    <x v="0"/>
    <x v="1"/>
    <x v="3"/>
    <n v="0"/>
    <n v="0"/>
    <x v="0"/>
    <n v="2"/>
    <x v="2"/>
    <n v="0.2273"/>
    <x v="27"/>
    <n v="0.1045"/>
    <x v="17"/>
    <x v="21"/>
    <x v="47"/>
  </r>
  <r>
    <n v="974"/>
    <x v="43"/>
    <x v="0"/>
    <x v="0"/>
    <x v="1"/>
    <x v="4"/>
    <n v="0"/>
    <n v="0"/>
    <x v="0"/>
    <n v="2"/>
    <x v="2"/>
    <n v="0.21210000000000001"/>
    <x v="27"/>
    <n v="0.16420000000000001"/>
    <x v="3"/>
    <x v="6"/>
    <x v="5"/>
  </r>
  <r>
    <n v="975"/>
    <x v="43"/>
    <x v="0"/>
    <x v="0"/>
    <x v="1"/>
    <x v="6"/>
    <n v="0"/>
    <n v="0"/>
    <x v="0"/>
    <n v="2"/>
    <x v="2"/>
    <n v="0.21210000000000001"/>
    <x v="27"/>
    <n v="0.1343"/>
    <x v="4"/>
    <x v="35"/>
    <x v="36"/>
  </r>
  <r>
    <n v="976"/>
    <x v="43"/>
    <x v="0"/>
    <x v="0"/>
    <x v="1"/>
    <x v="7"/>
    <n v="0"/>
    <n v="0"/>
    <x v="0"/>
    <n v="2"/>
    <x v="1"/>
    <n v="0.2727"/>
    <x v="28"/>
    <n v="0"/>
    <x v="3"/>
    <x v="35"/>
    <x v="6"/>
  </r>
  <r>
    <n v="977"/>
    <x v="43"/>
    <x v="0"/>
    <x v="0"/>
    <x v="1"/>
    <x v="8"/>
    <n v="0"/>
    <n v="0"/>
    <x v="0"/>
    <n v="2"/>
    <x v="1"/>
    <n v="0.2273"/>
    <x v="26"/>
    <n v="0.19400000000000001"/>
    <x v="5"/>
    <x v="48"/>
    <x v="47"/>
  </r>
  <r>
    <n v="978"/>
    <x v="43"/>
    <x v="0"/>
    <x v="0"/>
    <x v="1"/>
    <x v="9"/>
    <n v="0"/>
    <n v="0"/>
    <x v="0"/>
    <n v="2"/>
    <x v="0"/>
    <n v="0.2273"/>
    <x v="54"/>
    <n v="0.22389999999999999"/>
    <x v="6"/>
    <x v="96"/>
    <x v="105"/>
  </r>
  <r>
    <n v="979"/>
    <x v="43"/>
    <x v="0"/>
    <x v="0"/>
    <x v="1"/>
    <x v="10"/>
    <n v="0"/>
    <n v="0"/>
    <x v="0"/>
    <n v="1"/>
    <x v="11"/>
    <n v="0.2727"/>
    <x v="49"/>
    <n v="0.32840000000000003"/>
    <x v="21"/>
    <x v="132"/>
    <x v="136"/>
  </r>
  <r>
    <n v="980"/>
    <x v="43"/>
    <x v="0"/>
    <x v="0"/>
    <x v="1"/>
    <x v="11"/>
    <n v="0"/>
    <n v="0"/>
    <x v="0"/>
    <n v="1"/>
    <x v="3"/>
    <n v="0.28789999999999999"/>
    <x v="17"/>
    <n v="0.44779999999999998"/>
    <x v="7"/>
    <x v="132"/>
    <x v="59"/>
  </r>
  <r>
    <n v="981"/>
    <x v="43"/>
    <x v="0"/>
    <x v="0"/>
    <x v="1"/>
    <x v="12"/>
    <n v="0"/>
    <n v="0"/>
    <x v="0"/>
    <n v="1"/>
    <x v="5"/>
    <n v="0.31819999999999998"/>
    <x v="25"/>
    <n v="0.4627"/>
    <x v="39"/>
    <x v="111"/>
    <x v="148"/>
  </r>
  <r>
    <n v="982"/>
    <x v="43"/>
    <x v="0"/>
    <x v="0"/>
    <x v="1"/>
    <x v="13"/>
    <n v="0"/>
    <n v="0"/>
    <x v="0"/>
    <n v="1"/>
    <x v="4"/>
    <n v="0.39389999999999997"/>
    <x v="44"/>
    <n v="0.35820000000000002"/>
    <x v="40"/>
    <x v="50"/>
    <x v="38"/>
  </r>
  <r>
    <n v="983"/>
    <x v="43"/>
    <x v="0"/>
    <x v="0"/>
    <x v="1"/>
    <x v="14"/>
    <n v="0"/>
    <n v="0"/>
    <x v="0"/>
    <n v="2"/>
    <x v="9"/>
    <n v="0.40910000000000002"/>
    <x v="24"/>
    <n v="0.41789999999999999"/>
    <x v="41"/>
    <x v="59"/>
    <x v="143"/>
  </r>
  <r>
    <n v="984"/>
    <x v="43"/>
    <x v="0"/>
    <x v="0"/>
    <x v="1"/>
    <x v="15"/>
    <n v="0"/>
    <n v="0"/>
    <x v="0"/>
    <n v="2"/>
    <x v="9"/>
    <n v="0.40910000000000002"/>
    <x v="24"/>
    <n v="0.29849999999999999"/>
    <x v="11"/>
    <x v="183"/>
    <x v="123"/>
  </r>
  <r>
    <n v="985"/>
    <x v="43"/>
    <x v="0"/>
    <x v="0"/>
    <x v="1"/>
    <x v="16"/>
    <n v="0"/>
    <n v="0"/>
    <x v="0"/>
    <n v="2"/>
    <x v="6"/>
    <n v="0.42420000000000002"/>
    <x v="40"/>
    <n v="0.32840000000000003"/>
    <x v="32"/>
    <x v="184"/>
    <x v="87"/>
  </r>
  <r>
    <n v="986"/>
    <x v="43"/>
    <x v="0"/>
    <x v="0"/>
    <x v="1"/>
    <x v="17"/>
    <n v="0"/>
    <n v="0"/>
    <x v="0"/>
    <n v="1"/>
    <x v="6"/>
    <n v="0.42420000000000002"/>
    <x v="40"/>
    <n v="0.32840000000000003"/>
    <x v="36"/>
    <x v="73"/>
    <x v="139"/>
  </r>
  <r>
    <n v="987"/>
    <x v="43"/>
    <x v="0"/>
    <x v="0"/>
    <x v="1"/>
    <x v="18"/>
    <n v="0"/>
    <n v="0"/>
    <x v="0"/>
    <n v="1"/>
    <x v="9"/>
    <n v="0.40910000000000002"/>
    <x v="25"/>
    <n v="0.29849999999999999"/>
    <x v="26"/>
    <x v="78"/>
    <x v="76"/>
  </r>
  <r>
    <n v="988"/>
    <x v="43"/>
    <x v="0"/>
    <x v="0"/>
    <x v="1"/>
    <x v="19"/>
    <n v="0"/>
    <n v="0"/>
    <x v="0"/>
    <n v="1"/>
    <x v="9"/>
    <n v="0.40910000000000002"/>
    <x v="23"/>
    <n v="0.28360000000000002"/>
    <x v="16"/>
    <x v="54"/>
    <x v="42"/>
  </r>
  <r>
    <n v="989"/>
    <x v="43"/>
    <x v="0"/>
    <x v="0"/>
    <x v="1"/>
    <x v="20"/>
    <n v="0"/>
    <n v="0"/>
    <x v="0"/>
    <n v="1"/>
    <x v="9"/>
    <n v="0.40910000000000002"/>
    <x v="23"/>
    <n v="0.32840000000000003"/>
    <x v="13"/>
    <x v="1"/>
    <x v="105"/>
  </r>
  <r>
    <n v="990"/>
    <x v="43"/>
    <x v="0"/>
    <x v="0"/>
    <x v="1"/>
    <x v="21"/>
    <n v="0"/>
    <n v="0"/>
    <x v="0"/>
    <n v="1"/>
    <x v="9"/>
    <n v="0.40910000000000002"/>
    <x v="23"/>
    <n v="0.35820000000000002"/>
    <x v="15"/>
    <x v="108"/>
    <x v="41"/>
  </r>
  <r>
    <n v="991"/>
    <x v="43"/>
    <x v="0"/>
    <x v="0"/>
    <x v="1"/>
    <x v="22"/>
    <n v="0"/>
    <n v="0"/>
    <x v="0"/>
    <n v="1"/>
    <x v="9"/>
    <n v="0.40910000000000002"/>
    <x v="23"/>
    <n v="0.29849999999999999"/>
    <x v="2"/>
    <x v="17"/>
    <x v="9"/>
  </r>
  <r>
    <n v="992"/>
    <x v="43"/>
    <x v="0"/>
    <x v="0"/>
    <x v="1"/>
    <x v="23"/>
    <n v="0"/>
    <n v="0"/>
    <x v="0"/>
    <n v="1"/>
    <x v="9"/>
    <n v="0.40910000000000002"/>
    <x v="23"/>
    <n v="0.35820000000000002"/>
    <x v="0"/>
    <x v="2"/>
    <x v="33"/>
  </r>
  <r>
    <n v="993"/>
    <x v="44"/>
    <x v="0"/>
    <x v="0"/>
    <x v="1"/>
    <x v="0"/>
    <n v="0"/>
    <n v="1"/>
    <x v="1"/>
    <n v="1"/>
    <x v="4"/>
    <n v="0.39389999999999997"/>
    <x v="38"/>
    <n v="0.35820000000000002"/>
    <x v="0"/>
    <x v="21"/>
    <x v="62"/>
  </r>
  <r>
    <n v="994"/>
    <x v="44"/>
    <x v="0"/>
    <x v="0"/>
    <x v="1"/>
    <x v="1"/>
    <n v="0"/>
    <n v="1"/>
    <x v="1"/>
    <n v="1"/>
    <x v="4"/>
    <n v="0.39389999999999997"/>
    <x v="38"/>
    <n v="0.35820000000000002"/>
    <x v="5"/>
    <x v="8"/>
    <x v="85"/>
  </r>
  <r>
    <n v="995"/>
    <x v="44"/>
    <x v="0"/>
    <x v="0"/>
    <x v="1"/>
    <x v="2"/>
    <n v="0"/>
    <n v="1"/>
    <x v="1"/>
    <n v="1"/>
    <x v="5"/>
    <n v="0.33329999999999999"/>
    <x v="22"/>
    <n v="0.29849999999999999"/>
    <x v="3"/>
    <x v="6"/>
    <x v="5"/>
  </r>
  <r>
    <n v="996"/>
    <x v="44"/>
    <x v="0"/>
    <x v="0"/>
    <x v="1"/>
    <x v="3"/>
    <n v="0"/>
    <n v="1"/>
    <x v="1"/>
    <n v="1"/>
    <x v="10"/>
    <n v="0.31819999999999998"/>
    <x v="15"/>
    <n v="0.22389999999999999"/>
    <x v="5"/>
    <x v="4"/>
    <x v="5"/>
  </r>
  <r>
    <n v="997"/>
    <x v="44"/>
    <x v="0"/>
    <x v="0"/>
    <x v="1"/>
    <x v="4"/>
    <n v="0"/>
    <n v="1"/>
    <x v="1"/>
    <n v="1"/>
    <x v="3"/>
    <n v="0.30299999999999999"/>
    <x v="45"/>
    <n v="0.28360000000000002"/>
    <x v="3"/>
    <x v="6"/>
    <x v="5"/>
  </r>
  <r>
    <n v="998"/>
    <x v="44"/>
    <x v="0"/>
    <x v="0"/>
    <x v="1"/>
    <x v="5"/>
    <n v="0"/>
    <n v="1"/>
    <x v="1"/>
    <n v="1"/>
    <x v="3"/>
    <n v="0.30299999999999999"/>
    <x v="45"/>
    <n v="0.28360000000000002"/>
    <x v="3"/>
    <x v="35"/>
    <x v="6"/>
  </r>
  <r>
    <n v="999"/>
    <x v="44"/>
    <x v="0"/>
    <x v="0"/>
    <x v="1"/>
    <x v="6"/>
    <n v="0"/>
    <n v="1"/>
    <x v="1"/>
    <n v="1"/>
    <x v="10"/>
    <n v="0.30299999999999999"/>
    <x v="15"/>
    <n v="0.29849999999999999"/>
    <x v="5"/>
    <x v="18"/>
    <x v="132"/>
  </r>
  <r>
    <n v="1000"/>
    <x v="44"/>
    <x v="0"/>
    <x v="0"/>
    <x v="1"/>
    <x v="7"/>
    <n v="0"/>
    <n v="1"/>
    <x v="1"/>
    <n v="1"/>
    <x v="10"/>
    <n v="0.30299999999999999"/>
    <x v="15"/>
    <n v="0.29849999999999999"/>
    <x v="4"/>
    <x v="185"/>
    <x v="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62"/>
    <n v="24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62"/>
  </r>
  <r>
    <x v="1"/>
    <n v="190"/>
  </r>
  <r>
    <x v="2"/>
    <n v="46"/>
  </r>
  <r>
    <x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3E8D4-1D40-4A4B-8C58-9609D2B1681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6:N31" firstHeaderRow="1" firstDataRow="1" firstDataCol="1"/>
  <pivotFields count="2"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no of sesaon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142DE-42D0-4B71-8A56-0E23F3D1603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21:O23" firstHeaderRow="0" firstDataRow="1" firstDataCol="1"/>
  <pivotFields count="3">
    <pivotField dataField="1" showAll="0"/>
    <pivotField dataField="1" showAll="0"/>
    <pivotField axis="axisRow" showAll="0">
      <items count="2">
        <item x="0"/>
        <item t="default"/>
      </items>
    </pivotField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l customer " fld="0" baseField="0" baseItem="0"/>
    <dataField name="Sum of Register" fld="1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4EEF7-E7B3-4CC2-AF06-24FDD91EBAF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0:M14" firstHeaderRow="1" firstDataRow="2" firstDataCol="1"/>
  <pivotFields count="19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87">
        <item x="5"/>
        <item x="4"/>
        <item x="6"/>
        <item x="35"/>
        <item x="22"/>
        <item x="34"/>
        <item x="8"/>
        <item x="7"/>
        <item x="21"/>
        <item x="33"/>
        <item x="3"/>
        <item x="48"/>
        <item x="98"/>
        <item x="0"/>
        <item x="88"/>
        <item x="89"/>
        <item x="20"/>
        <item x="19"/>
        <item x="72"/>
        <item x="23"/>
        <item x="32"/>
        <item x="144"/>
        <item x="97"/>
        <item x="140"/>
        <item x="9"/>
        <item x="18"/>
        <item x="16"/>
        <item x="2"/>
        <item x="95"/>
        <item x="31"/>
        <item x="10"/>
        <item x="17"/>
        <item x="1"/>
        <item x="39"/>
        <item x="60"/>
        <item x="96"/>
        <item x="49"/>
        <item x="53"/>
        <item x="101"/>
        <item x="87"/>
        <item x="71"/>
        <item x="40"/>
        <item x="76"/>
        <item x="30"/>
        <item x="100"/>
        <item x="108"/>
        <item x="24"/>
        <item x="12"/>
        <item x="41"/>
        <item x="47"/>
        <item x="54"/>
        <item x="82"/>
        <item x="15"/>
        <item x="42"/>
        <item x="25"/>
        <item x="11"/>
        <item x="90"/>
        <item x="77"/>
        <item x="29"/>
        <item x="79"/>
        <item x="91"/>
        <item x="124"/>
        <item x="133"/>
        <item x="36"/>
        <item x="27"/>
        <item x="65"/>
        <item x="43"/>
        <item x="28"/>
        <item x="56"/>
        <item x="94"/>
        <item x="14"/>
        <item x="13"/>
        <item x="109"/>
        <item x="26"/>
        <item x="64"/>
        <item x="102"/>
        <item x="83"/>
        <item x="99"/>
        <item x="78"/>
        <item x="55"/>
        <item x="122"/>
        <item x="38"/>
        <item x="70"/>
        <item x="93"/>
        <item x="151"/>
        <item x="66"/>
        <item x="132"/>
        <item x="61"/>
        <item x="152"/>
        <item x="121"/>
        <item x="92"/>
        <item x="164"/>
        <item x="50"/>
        <item x="139"/>
        <item x="111"/>
        <item x="73"/>
        <item x="185"/>
        <item x="106"/>
        <item x="52"/>
        <item x="176"/>
        <item x="129"/>
        <item x="143"/>
        <item x="46"/>
        <item x="145"/>
        <item x="153"/>
        <item x="159"/>
        <item x="184"/>
        <item x="128"/>
        <item x="123"/>
        <item x="63"/>
        <item x="59"/>
        <item x="180"/>
        <item x="155"/>
        <item x="182"/>
        <item x="156"/>
        <item x="168"/>
        <item x="75"/>
        <item x="118"/>
        <item x="138"/>
        <item x="178"/>
        <item x="183"/>
        <item x="170"/>
        <item x="125"/>
        <item x="85"/>
        <item x="167"/>
        <item x="69"/>
        <item x="172"/>
        <item x="110"/>
        <item x="126"/>
        <item x="149"/>
        <item x="120"/>
        <item x="113"/>
        <item x="115"/>
        <item x="112"/>
        <item x="131"/>
        <item x="116"/>
        <item x="142"/>
        <item x="44"/>
        <item x="150"/>
        <item x="45"/>
        <item x="137"/>
        <item x="166"/>
        <item x="37"/>
        <item x="105"/>
        <item x="119"/>
        <item x="117"/>
        <item x="174"/>
        <item x="81"/>
        <item x="136"/>
        <item x="80"/>
        <item x="158"/>
        <item x="68"/>
        <item x="175"/>
        <item x="162"/>
        <item x="141"/>
        <item x="157"/>
        <item x="177"/>
        <item x="104"/>
        <item x="161"/>
        <item x="51"/>
        <item x="86"/>
        <item x="58"/>
        <item x="154"/>
        <item x="160"/>
        <item x="103"/>
        <item x="67"/>
        <item x="84"/>
        <item x="62"/>
        <item x="181"/>
        <item x="165"/>
        <item x="127"/>
        <item x="114"/>
        <item x="173"/>
        <item x="57"/>
        <item x="134"/>
        <item x="147"/>
        <item x="135"/>
        <item x="179"/>
        <item x="107"/>
        <item x="74"/>
        <item x="163"/>
        <item x="148"/>
        <item x="169"/>
        <item x="146"/>
        <item x="171"/>
        <item x="130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8"/>
    <field x="17"/>
  </rowFields>
  <rowItems count="3"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weathersit" fld="9" baseField="0" baseItem="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8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18" type="button" dataOnly="0" labelOnly="1" outline="0" axis="axisRow" fieldPosition="0"/>
    </format>
    <format dxfId="8">
      <pivotArea dataOnly="0" labelOnly="1" fieldPosition="0">
        <references count="1">
          <reference field="18" count="2">
            <x v="1"/>
            <x v="2"/>
          </reference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8" count="0"/>
        </references>
      </pivotArea>
    </format>
    <format dxfId="5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06787-0736-4A59-8909-CD2409D9F0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3:H28" firstHeaderRow="0" firstDataRow="1" firstDataCol="1"/>
  <pivotFields count="19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3">
        <item x="3"/>
        <item x="5"/>
        <item x="4"/>
        <item x="0"/>
        <item x="17"/>
        <item x="2"/>
        <item x="15"/>
        <item x="18"/>
        <item x="1"/>
        <item x="14"/>
        <item x="22"/>
        <item x="16"/>
        <item x="6"/>
        <item x="23"/>
        <item x="24"/>
        <item x="13"/>
        <item x="19"/>
        <item x="26"/>
        <item x="25"/>
        <item x="21"/>
        <item x="20"/>
        <item x="27"/>
        <item x="30"/>
        <item x="29"/>
        <item x="31"/>
        <item x="7"/>
        <item x="37"/>
        <item x="32"/>
        <item x="8"/>
        <item x="36"/>
        <item x="38"/>
        <item x="28"/>
        <item x="10"/>
        <item x="11"/>
        <item x="12"/>
        <item x="35"/>
        <item x="9"/>
        <item x="33"/>
        <item x="41"/>
        <item x="34"/>
        <item x="39"/>
        <item x="40"/>
        <item t="default"/>
      </items>
    </pivotField>
    <pivotField dataField="1" showAll="0">
      <items count="187">
        <item x="5"/>
        <item x="4"/>
        <item x="6"/>
        <item x="35"/>
        <item x="22"/>
        <item x="34"/>
        <item x="8"/>
        <item x="7"/>
        <item x="21"/>
        <item x="33"/>
        <item x="3"/>
        <item x="48"/>
        <item x="98"/>
        <item x="0"/>
        <item x="88"/>
        <item x="89"/>
        <item x="20"/>
        <item x="19"/>
        <item x="72"/>
        <item x="23"/>
        <item x="32"/>
        <item x="144"/>
        <item x="97"/>
        <item x="140"/>
        <item x="9"/>
        <item x="18"/>
        <item x="16"/>
        <item x="2"/>
        <item x="95"/>
        <item x="31"/>
        <item x="10"/>
        <item x="17"/>
        <item x="1"/>
        <item x="39"/>
        <item x="60"/>
        <item x="96"/>
        <item x="49"/>
        <item x="53"/>
        <item x="101"/>
        <item x="87"/>
        <item x="71"/>
        <item x="40"/>
        <item x="76"/>
        <item x="30"/>
        <item x="100"/>
        <item x="108"/>
        <item x="24"/>
        <item x="12"/>
        <item x="41"/>
        <item x="47"/>
        <item x="54"/>
        <item x="82"/>
        <item x="15"/>
        <item x="42"/>
        <item x="25"/>
        <item x="11"/>
        <item x="90"/>
        <item x="77"/>
        <item x="29"/>
        <item x="79"/>
        <item x="91"/>
        <item x="124"/>
        <item x="133"/>
        <item x="36"/>
        <item x="27"/>
        <item x="65"/>
        <item x="43"/>
        <item x="28"/>
        <item x="56"/>
        <item x="94"/>
        <item x="14"/>
        <item x="13"/>
        <item x="109"/>
        <item x="26"/>
        <item x="64"/>
        <item x="102"/>
        <item x="83"/>
        <item x="99"/>
        <item x="78"/>
        <item x="55"/>
        <item x="122"/>
        <item x="38"/>
        <item x="70"/>
        <item x="93"/>
        <item x="151"/>
        <item x="66"/>
        <item x="132"/>
        <item x="61"/>
        <item x="152"/>
        <item x="121"/>
        <item x="92"/>
        <item x="164"/>
        <item x="50"/>
        <item x="139"/>
        <item x="111"/>
        <item x="73"/>
        <item x="185"/>
        <item x="106"/>
        <item x="52"/>
        <item x="176"/>
        <item x="129"/>
        <item x="143"/>
        <item x="46"/>
        <item x="145"/>
        <item x="153"/>
        <item x="159"/>
        <item x="184"/>
        <item x="128"/>
        <item x="123"/>
        <item x="63"/>
        <item x="59"/>
        <item x="180"/>
        <item x="155"/>
        <item x="182"/>
        <item x="156"/>
        <item x="168"/>
        <item x="75"/>
        <item x="118"/>
        <item x="138"/>
        <item x="178"/>
        <item x="183"/>
        <item x="170"/>
        <item x="125"/>
        <item x="85"/>
        <item x="167"/>
        <item x="69"/>
        <item x="172"/>
        <item x="110"/>
        <item x="126"/>
        <item x="149"/>
        <item x="120"/>
        <item x="113"/>
        <item x="115"/>
        <item x="112"/>
        <item x="131"/>
        <item x="116"/>
        <item x="142"/>
        <item x="44"/>
        <item x="150"/>
        <item x="45"/>
        <item x="137"/>
        <item x="166"/>
        <item x="37"/>
        <item x="105"/>
        <item x="119"/>
        <item x="117"/>
        <item x="174"/>
        <item x="81"/>
        <item x="136"/>
        <item x="80"/>
        <item x="158"/>
        <item x="68"/>
        <item x="175"/>
        <item x="162"/>
        <item x="141"/>
        <item x="157"/>
        <item x="177"/>
        <item x="104"/>
        <item x="161"/>
        <item x="51"/>
        <item x="86"/>
        <item x="58"/>
        <item x="154"/>
        <item x="160"/>
        <item x="103"/>
        <item x="67"/>
        <item x="84"/>
        <item x="62"/>
        <item x="181"/>
        <item x="165"/>
        <item x="127"/>
        <item x="114"/>
        <item x="173"/>
        <item x="57"/>
        <item x="134"/>
        <item x="147"/>
        <item x="135"/>
        <item x="179"/>
        <item x="107"/>
        <item x="74"/>
        <item x="163"/>
        <item x="148"/>
        <item x="169"/>
        <item x="146"/>
        <item x="171"/>
        <item x="130"/>
        <item t="default"/>
      </items>
    </pivotField>
    <pivotField dataField="1" showAll="0">
      <items count="192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14" baseField="0" baseItem="0"/>
    <dataField name="Sum of cnt" fld="16" baseField="0" baseItem="0"/>
    <dataField name="Sum of registered" fld="15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4FF7D-4C0B-483D-8650-843D53FA9A3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:M6" firstHeaderRow="0" firstDataRow="1" firstDataCol="1"/>
  <pivotFields count="19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gistered" fld="15" baseField="0" baseItem="0"/>
    <dataField name="Sum of cnt" fld="16" baseField="0" baseItem="0"/>
    <dataField name="Sum of casual" fld="14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8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1FBC7-2A24-40D3-A6D6-AC631EB375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8" firstHeaderRow="0" firstDataRow="1" firstDataCol="1"/>
  <pivotFields count="19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orkingday" fld="8" baseField="0" baseItem="0"/>
    <dataField name="Sum of weekday" fld="7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5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7F2F1-F15D-4A12-B6F1-287F536CA6E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O3:P6" firstHeaderRow="1" firstDataRow="1" firstDataCol="1"/>
  <pivotFields count="19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368">
        <item h="1" sd="0" x="0"/>
        <item h="1" sd="0" x="1"/>
        <item sd="0" x="2"/>
        <item h="1"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7"/>
  </rowFields>
  <rowItems count="3">
    <i>
      <x v="2"/>
    </i>
    <i>
      <x v="4"/>
    </i>
    <i t="grand">
      <x/>
    </i>
  </rowItems>
  <colItems count="1">
    <i/>
  </colItems>
  <dataFields count="1">
    <dataField name="Sum of cnt" fld="16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7" type="button" dataOnly="0" labelOnly="1" outline="0" axis="axisRow" fieldPosition="0"/>
    </format>
    <format dxfId="35">
      <pivotArea dataOnly="0" labelOnly="1" fieldPosition="0">
        <references count="1">
          <reference field="17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6BE2C-C1AE-49BE-B66C-2DEBE5CA780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7:M18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r" fld="0" baseField="0" baseItem="0"/>
    <dataField name="Sum of season" fld="1" baseField="0" baseItem="0"/>
    <dataField name="Sum of registered" fld="3" baseField="0" baseItem="0"/>
    <dataField name="Sum of cnt" fld="2" baseField="0" baseItem="0"/>
  </dataFields>
  <formats count="3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project_power_query]"/>
        <x15:activeTabTopLevelEntity name="[power_query_data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9674FDA-A9A0-4621-A779-B2BE5D385AE8}" autoFormatId="16" applyNumberFormats="0" applyBorderFormats="0" applyFontFormats="0" applyPatternFormats="0" applyAlignmentFormats="0" applyWidthHeightFormats="0">
  <queryTableRefresh nextId="13">
    <queryTableFields count="11">
      <queryTableField id="2" name="instant" tableColumnId="2"/>
      <queryTableField id="3" name="dteday" tableColumnId="3"/>
      <queryTableField id="4" name="season" tableColumnId="4"/>
      <queryTableField id="5" name="yr" tableColumnId="5"/>
      <queryTableField id="6" name="mnth" tableColumnId="6"/>
      <queryTableField id="7" name="hr" tableColumnId="7"/>
      <queryTableField id="8" name="holiday" tableColumnId="8"/>
      <queryTableField id="9" name="weekday" tableColumnId="9"/>
      <queryTableField id="10" name="workingday" tableColumnId="10"/>
      <queryTableField id="11" name="weathersit" tableColumnId="11"/>
      <queryTableField id="12" name="temp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3EF374C-E63B-4E86-8A80-EBD5966723FA}" autoFormatId="16" applyNumberFormats="0" applyBorderFormats="0" applyFontFormats="0" applyPatternFormats="0" applyAlignmentFormats="0" applyWidthHeightFormats="0">
  <queryTableRefresh nextId="10">
    <queryTableFields count="8"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  <queryTableField id="9" name="atemp_impute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7F2C143-0875-49E0-BB14-F7171A5D0AC9}" autoFormatId="16" applyNumberFormats="0" applyBorderFormats="0" applyFontFormats="0" applyPatternFormats="0" applyAlignmentFormats="0" applyWidthHeightFormats="0">
  <queryTableRefresh nextId="18">
    <queryTableFields count="16">
      <queryTableField id="2" name="instant" tableColumnId="2"/>
      <queryTableField id="3" name="dteday" tableColumnId="3"/>
      <queryTableField id="4" name="season" tableColumnId="4"/>
      <queryTableField id="5" name="yr" tableColumnId="5"/>
      <queryTableField id="6" name="mnth" tableColumnId="6"/>
      <queryTableField id="7" name="hr" tableColumnId="7"/>
      <queryTableField id="8" name="holiday" tableColumnId="8"/>
      <queryTableField id="9" name="weekday" tableColumnId="9"/>
      <queryTableField id="10" name="weathersit" tableColumnId="10"/>
      <queryTableField id="11" name="temp" tableColumnId="11"/>
      <queryTableField id="12" name="atemp" tableColumnId="12"/>
      <queryTableField id="13" name="hum" tableColumnId="13"/>
      <queryTableField id="14" name="windspeed" tableColumnId="14"/>
      <queryTableField id="15" name="casual" tableColumnId="15"/>
      <queryTableField id="16" name="registered" tableColumnId="16"/>
      <queryTableField id="17" name="cnt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EC2558B-0AE0-416E-B75C-7B3CED2A1ADD}" autoFormatId="16" applyNumberFormats="0" applyBorderFormats="0" applyFontFormats="0" applyPatternFormats="0" applyAlignmentFormats="0" applyWidthHeightFormats="0">
  <queryTableRefresh nextId="18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dataset_2.instant" tableColumnId="11"/>
      <queryTableField id="12" name="dataset_2.atemp" tableColumnId="12"/>
      <queryTableField id="13" name="dataset_2.hum" tableColumnId="13"/>
      <queryTableField id="14" name="dataset_2.windspeed" tableColumnId="14"/>
      <queryTableField id="15" name="dataset_2.casual" tableColumnId="15"/>
      <queryTableField id="16" name="dataset_2.registered" tableColumnId="16"/>
      <queryTableField id="17" name="dataset_2.cnt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AE5801F4-5765-42B9-B957-B70C2BA64866}" autoFormatId="16" applyNumberFormats="0" applyBorderFormats="0" applyFontFormats="0" applyPatternFormats="0" applyAlignmentFormats="0" applyWidthHeightFormats="0">
  <queryTableRefresh nextId="22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orkingday" tableColumnId="9"/>
      <queryTableField id="10" name="weathersit" tableColumnId="10"/>
      <queryTableField id="11" name="temp" tableColumnId="11"/>
      <queryTableField id="12" name="atemp" tableColumnId="12"/>
      <queryTableField id="13" name="hum" tableColumnId="13"/>
      <queryTableField id="14" name="windspeed" tableColumnId="14"/>
      <queryTableField id="15" name="casual" tableColumnId="15"/>
      <queryTableField id="16" name="registered" tableColumnId="16"/>
      <queryTableField id="17" name="cnt" tableColumnId="17"/>
    </queryTableFields>
    <queryTableDeletedFields count="1">
      <deletedField name="atemp_impu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960F9-532E-40CD-9757-1878D81474FF}" name="power_query_data_1" displayName="power_query_data_1" ref="A1:K611" tableType="queryTable" totalsRowShown="0" headerRowDxfId="82" dataDxfId="81">
  <autoFilter ref="A1:K611" xr:uid="{5E4960F9-532E-40CD-9757-1878D81474FF}"/>
  <tableColumns count="11">
    <tableColumn id="2" xr3:uid="{95E1E202-409C-4CBF-9F47-1F9492136DDA}" uniqueName="2" name="instant" queryTableFieldId="2" dataDxfId="80"/>
    <tableColumn id="3" xr3:uid="{67B30F0F-4612-40C0-ABC6-F72643299EBB}" uniqueName="3" name="dteday" queryTableFieldId="3" dataDxfId="79"/>
    <tableColumn id="4" xr3:uid="{50D29E8A-9BF9-4C22-919D-58C6360DF460}" uniqueName="4" name="season" queryTableFieldId="4" dataDxfId="78"/>
    <tableColumn id="5" xr3:uid="{69C663CE-5656-4A08-ACC2-C39A70489CDE}" uniqueName="5" name="yr" queryTableFieldId="5" dataDxfId="77"/>
    <tableColumn id="6" xr3:uid="{43CA1AAD-B445-454E-AC14-9D795DF78448}" uniqueName="6" name="mnth" queryTableFieldId="6" dataDxfId="76"/>
    <tableColumn id="7" xr3:uid="{15BADDEA-9C1A-4779-8265-8A8A04834753}" uniqueName="7" name="hr" queryTableFieldId="7" dataDxfId="75"/>
    <tableColumn id="8" xr3:uid="{7261D4FF-A9E6-49DE-A365-E8BBE01BB654}" uniqueName="8" name="holiday" queryTableFieldId="8" dataDxfId="74"/>
    <tableColumn id="9" xr3:uid="{284C2F42-5413-41AF-9585-BA0606E0BC66}" uniqueName="9" name="weekday" queryTableFieldId="9" dataDxfId="73"/>
    <tableColumn id="10" xr3:uid="{95FBDA36-EA22-4E50-922E-0BB719377A64}" uniqueName="10" name="workingday" queryTableFieldId="10" dataDxfId="72"/>
    <tableColumn id="11" xr3:uid="{BF9AB0A0-2825-4050-AB03-FE2E40E84822}" uniqueName="11" name="weathersit" queryTableFieldId="11" dataDxfId="71"/>
    <tableColumn id="12" xr3:uid="{60175384-DF6C-4BAF-AFCA-12B0B88CD5DA}" uniqueName="12" name="temp" queryTableFieldId="12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FFA8F-9B2F-4F21-BD1C-0C2B329AE0EF}" name="project_query_data_2" displayName="project_query_data_2" ref="A1:H611" tableType="queryTable" totalsRowShown="0" headerRowDxfId="69" dataDxfId="68">
  <autoFilter ref="A1:H611" xr:uid="{83AFFA8F-9B2F-4F21-BD1C-0C2B329AE0EF}"/>
  <tableColumns count="8">
    <tableColumn id="2" xr3:uid="{3FE65A92-16BF-432F-A8EF-3F3A69B931DD}" uniqueName="2" name="instant" queryTableFieldId="2" dataDxfId="67"/>
    <tableColumn id="3" xr3:uid="{FC73551E-5704-439C-9A01-87FF32239638}" uniqueName="3" name="atemp" queryTableFieldId="3" dataDxfId="66"/>
    <tableColumn id="4" xr3:uid="{533F0332-4239-4FC6-B190-1A00D985DAB3}" uniqueName="4" name="hum" queryTableFieldId="4" dataDxfId="65"/>
    <tableColumn id="5" xr3:uid="{E20141F8-BDA9-4685-8F31-7634CB10F7ED}" uniqueName="5" name="windspeed" queryTableFieldId="5" dataDxfId="64"/>
    <tableColumn id="6" xr3:uid="{A00135C8-0A1D-4777-BF2D-6CFABE752C14}" uniqueName="6" name="casual" queryTableFieldId="6" dataDxfId="63"/>
    <tableColumn id="7" xr3:uid="{254754DB-0FE4-462C-A11C-951DF885915A}" uniqueName="7" name="registered" queryTableFieldId="7" dataDxfId="62"/>
    <tableColumn id="8" xr3:uid="{8F882664-0433-4404-875E-2C16D2BF16E8}" uniqueName="8" name="cnt" queryTableFieldId="8" dataDxfId="61"/>
    <tableColumn id="9" xr3:uid="{B637E598-1509-459B-87FA-6191EBE7B4D2}" uniqueName="9" name="atemp_imputed" queryTableFieldId="9" dataDxfId="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21C20-1226-4159-8B7E-586B3AD7EA50}" name="project_power_query3" displayName="project_power_query3" ref="A1:P391" tableType="queryTable" totalsRowShown="0" headerRowDxfId="59" dataDxfId="58">
  <autoFilter ref="A1:P391" xr:uid="{93521C20-1226-4159-8B7E-586B3AD7EA50}"/>
  <tableColumns count="16">
    <tableColumn id="2" xr3:uid="{3F81361B-C4FC-4154-AFFF-D11488E3219F}" uniqueName="2" name="instant" queryTableFieldId="2" dataDxfId="57"/>
    <tableColumn id="3" xr3:uid="{5B94158F-F6BF-4EFD-B416-AABBDE3DEC75}" uniqueName="3" name="dteday" queryTableFieldId="3" dataDxfId="56"/>
    <tableColumn id="4" xr3:uid="{3B289A84-795C-41E7-B9CD-968D001761C2}" uniqueName="4" name="season" queryTableFieldId="4" dataDxfId="55"/>
    <tableColumn id="5" xr3:uid="{5ACEC405-0F37-484C-A256-16B6F7391856}" uniqueName="5" name="yr" queryTableFieldId="5" dataDxfId="54"/>
    <tableColumn id="6" xr3:uid="{3E445FEF-0CA0-4B4B-A81B-D822DA02B67B}" uniqueName="6" name="mnth" queryTableFieldId="6" dataDxfId="53"/>
    <tableColumn id="7" xr3:uid="{5C862A85-599D-4EE8-B053-76225619B32C}" uniqueName="7" name="hr" queryTableFieldId="7" dataDxfId="52"/>
    <tableColumn id="8" xr3:uid="{D866382D-C34F-478C-BEB2-2F7070060583}" uniqueName="8" name="holiday" queryTableFieldId="8" dataDxfId="51"/>
    <tableColumn id="9" xr3:uid="{B40299A2-6299-4CE2-AC1E-928E686E9248}" uniqueName="9" name="weekday" queryTableFieldId="9" dataDxfId="50"/>
    <tableColumn id="10" xr3:uid="{0315E854-F06C-4BA0-91F5-B588688CAFB3}" uniqueName="10" name="weathersit" queryTableFieldId="10" dataDxfId="49"/>
    <tableColumn id="11" xr3:uid="{161CE14E-B387-400A-8E70-FDBB23A33EFB}" uniqueName="11" name="temp" queryTableFieldId="11" dataDxfId="48"/>
    <tableColumn id="12" xr3:uid="{85C68A7E-5F5F-4435-9A5E-F4845CE5BEA6}" uniqueName="12" name="atemp" queryTableFieldId="12" dataDxfId="47"/>
    <tableColumn id="13" xr3:uid="{1CAB2EE3-18F5-4FAD-ADA6-EDDAA08E2637}" uniqueName="13" name="hum" queryTableFieldId="13" dataDxfId="46"/>
    <tableColumn id="14" xr3:uid="{703DFCEB-5BAA-444A-8E80-46027840DEAE}" uniqueName="14" name="windspeed" queryTableFieldId="14" dataDxfId="45"/>
    <tableColumn id="15" xr3:uid="{6415775A-0ECC-42AD-915D-27978193559B}" uniqueName="15" name="casual" queryTableFieldId="15" dataDxfId="44"/>
    <tableColumn id="16" xr3:uid="{42E5A9DE-E037-4175-BAA2-B6C367E390BF}" uniqueName="16" name="registered" queryTableFieldId="16" dataDxfId="43"/>
    <tableColumn id="17" xr3:uid="{E3E04322-2B2A-446A-9D7B-AE12BE635900}" uniqueName="17" name="cnt" queryTableFieldId="17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53EDD0-B5B5-4CA8-BC27-B78706733784}" name="Merge1" displayName="Merge1" ref="A1:Q600" tableType="queryTable" totalsRowShown="0">
  <autoFilter ref="A1:Q600" xr:uid="{A553EDD0-B5B5-4CA8-BC27-B78706733784}"/>
  <tableColumns count="17">
    <tableColumn id="1" xr3:uid="{C5BBB540-DE05-41BE-A6CB-6E75A1B6EDE1}" uniqueName="1" name="instant" queryTableFieldId="1"/>
    <tableColumn id="2" xr3:uid="{9F2EF936-3D9F-4040-84A4-D43B26FB8DAD}" uniqueName="2" name="dteday" queryTableFieldId="2" dataDxfId="83"/>
    <tableColumn id="3" xr3:uid="{C5624DF3-AEB4-4276-9F5C-36427C6B08B6}" uniqueName="3" name="season" queryTableFieldId="3"/>
    <tableColumn id="4" xr3:uid="{2C79B02F-959F-4C10-8FD4-75F8034E781E}" uniqueName="4" name="yr" queryTableFieldId="4"/>
    <tableColumn id="5" xr3:uid="{5CD7ECB4-516F-45ED-8B4E-BE752E3BC521}" uniqueName="5" name="mnth" queryTableFieldId="5"/>
    <tableColumn id="6" xr3:uid="{079225EB-A181-4C97-B825-7E0A7C194894}" uniqueName="6" name="hr" queryTableFieldId="6"/>
    <tableColumn id="7" xr3:uid="{838C21EA-B607-488F-9C3A-A33EB2EC5699}" uniqueName="7" name="holiday" queryTableFieldId="7"/>
    <tableColumn id="8" xr3:uid="{FE457144-A0E0-4281-BF71-BCCFE6D5C0EB}" uniqueName="8" name="weekday" queryTableFieldId="8"/>
    <tableColumn id="9" xr3:uid="{FA9D03D8-F99D-4C17-8BD8-CE628D21F20B}" uniqueName="9" name="weathersit" queryTableFieldId="9"/>
    <tableColumn id="10" xr3:uid="{E546B5AB-0C81-4508-B461-12AC8B205538}" uniqueName="10" name="temp" queryTableFieldId="10"/>
    <tableColumn id="11" xr3:uid="{D3FF944A-E023-4045-8533-BC5FDAAF100D}" uniqueName="11" name="dataset_2.instant" queryTableFieldId="11"/>
    <tableColumn id="12" xr3:uid="{833D4434-5216-4FE4-9611-36A47B20E39F}" uniqueName="12" name="dataset_2.atemp" queryTableFieldId="12"/>
    <tableColumn id="13" xr3:uid="{5F52DFC1-6006-4156-8304-7390AF29A120}" uniqueName="13" name="dataset_2.hum" queryTableFieldId="13"/>
    <tableColumn id="14" xr3:uid="{28782049-A85E-4B6E-A0C5-6A3C6D522002}" uniqueName="14" name="dataset_2.windspeed" queryTableFieldId="14"/>
    <tableColumn id="15" xr3:uid="{BDFF13B5-9E7C-4282-9921-7E76ED0C475A}" uniqueName="15" name="dataset_2.casual" queryTableFieldId="15"/>
    <tableColumn id="16" xr3:uid="{47617CF9-94B1-43BF-ADC6-F1F8A413A57D}" uniqueName="16" name="dataset_2.registered" queryTableFieldId="16"/>
    <tableColumn id="17" xr3:uid="{873A5FF0-EBA7-42E3-AE97-59DEE4264FDC}" uniqueName="17" name="dataset_2.cnt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03B715-BC91-4F5A-A4B5-0D2B5BDA27AE}" name="project_power_query" displayName="project_power_query" ref="A1:Q1001" tableType="queryTable" totalsRowShown="0">
  <autoFilter ref="A1:Q1001" xr:uid="{C503B715-BC91-4F5A-A4B5-0D2B5BDA27AE}"/>
  <tableColumns count="17">
    <tableColumn id="1" xr3:uid="{2EABB807-557E-4F2C-8859-E05A522D67FF}" uniqueName="1" name="instant" queryTableFieldId="1"/>
    <tableColumn id="2" xr3:uid="{D2C5C01C-044A-4290-B32E-0745DE6B4D1B}" uniqueName="2" name="dteday" queryTableFieldId="2" dataDxfId="4"/>
    <tableColumn id="3" xr3:uid="{0A2BD059-3E8F-45BD-96B3-4FD090150AC1}" uniqueName="3" name="season" queryTableFieldId="3"/>
    <tableColumn id="4" xr3:uid="{4F6A1D45-49CB-4B5B-89A3-4C858856FE44}" uniqueName="4" name="yr" queryTableFieldId="4"/>
    <tableColumn id="5" xr3:uid="{B7642096-4472-4E69-BCB8-A356720F979D}" uniqueName="5" name="mnth" queryTableFieldId="5"/>
    <tableColumn id="6" xr3:uid="{7C03ECBE-8394-4552-8534-32D138D69D43}" uniqueName="6" name="hr" queryTableFieldId="6"/>
    <tableColumn id="7" xr3:uid="{074CDE0C-E34B-40A1-B781-B858343EAAC7}" uniqueName="7" name="holiday" queryTableFieldId="7"/>
    <tableColumn id="8" xr3:uid="{15B1F644-CB91-4B8B-B6D5-05CDC8E864D0}" uniqueName="8" name="weekday" queryTableFieldId="8"/>
    <tableColumn id="9" xr3:uid="{CD257FD8-E414-4117-A2EA-6D86398EC45E}" uniqueName="9" name="workingday" queryTableFieldId="9"/>
    <tableColumn id="10" xr3:uid="{95E40F80-DEE5-4B27-AF9F-C513596E3A3E}" uniqueName="10" name="weathersit" queryTableFieldId="10"/>
    <tableColumn id="11" xr3:uid="{D5D456C8-74AB-421F-83DE-47C4E980198E}" uniqueName="11" name="temp" queryTableFieldId="11"/>
    <tableColumn id="12" xr3:uid="{58A9DAE6-FD43-4613-9851-6C0AFCB69517}" uniqueName="12" name="atemp" queryTableFieldId="12"/>
    <tableColumn id="13" xr3:uid="{23BA6856-ACF1-4354-8973-7E830EF8BAEC}" uniqueName="13" name="hum" queryTableFieldId="13"/>
    <tableColumn id="14" xr3:uid="{BD9BCD53-EB97-400E-986B-FFC32E229756}" uniqueName="14" name="windspeed" queryTableFieldId="14"/>
    <tableColumn id="15" xr3:uid="{27F0EB88-D8EE-4C49-9CA0-E343EB9CA181}" uniqueName="15" name="casual" queryTableFieldId="15"/>
    <tableColumn id="16" xr3:uid="{0D7F7037-5D4B-4BAA-9CC7-0AC5EC335474}" uniqueName="16" name="registered" queryTableFieldId="16"/>
    <tableColumn id="17" xr3:uid="{CB8BF4E7-C68C-45B2-BBEC-6C0B76C7D01B}" uniqueName="17" name="cn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D5F4-79E2-4B89-874F-95212C78D823}">
  <dimension ref="A1:N611"/>
  <sheetViews>
    <sheetView workbookViewId="0">
      <selection activeCell="L16" sqref="L16"/>
    </sheetView>
  </sheetViews>
  <sheetFormatPr defaultRowHeight="14.4" x14ac:dyDescent="0.3"/>
  <cols>
    <col min="1" max="1" width="9" style="1" bestFit="1" customWidth="1"/>
    <col min="2" max="2" width="9.5546875" style="1" bestFit="1" customWidth="1"/>
    <col min="3" max="3" width="9" style="1" bestFit="1" customWidth="1"/>
    <col min="4" max="4" width="4.88671875" style="1" bestFit="1" customWidth="1"/>
    <col min="5" max="5" width="7.77734375" style="1" bestFit="1" customWidth="1"/>
    <col min="6" max="6" width="8.33203125" style="1" customWidth="1"/>
    <col min="7" max="7" width="9.44140625" style="1" bestFit="1" customWidth="1"/>
    <col min="8" max="8" width="10.77734375" style="1" bestFit="1" customWidth="1"/>
    <col min="9" max="9" width="13.109375" style="1" bestFit="1" customWidth="1"/>
    <col min="10" max="10" width="12" style="1" bestFit="1" customWidth="1"/>
    <col min="11" max="12" width="7.6640625" style="1" bestFit="1" customWidth="1"/>
    <col min="13" max="13" width="48.109375" customWidth="1"/>
    <col min="14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6</v>
      </c>
      <c r="I2" s="1">
        <v>0</v>
      </c>
      <c r="J2" s="1">
        <v>1</v>
      </c>
      <c r="K2" s="1">
        <v>0.24</v>
      </c>
    </row>
    <row r="3" spans="1:14" x14ac:dyDescent="0.3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6</v>
      </c>
      <c r="I3" s="1">
        <v>0</v>
      </c>
      <c r="J3" s="1">
        <v>1</v>
      </c>
      <c r="K3" s="1">
        <v>0.22</v>
      </c>
    </row>
    <row r="4" spans="1:14" x14ac:dyDescent="0.3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>
        <v>0</v>
      </c>
      <c r="H4" s="1">
        <v>6</v>
      </c>
      <c r="I4" s="1">
        <v>0</v>
      </c>
      <c r="J4" s="1">
        <v>1</v>
      </c>
      <c r="K4" s="1">
        <v>0.22</v>
      </c>
      <c r="L4" s="1" t="s">
        <v>740</v>
      </c>
      <c r="M4" t="s">
        <v>741</v>
      </c>
      <c r="N4"/>
    </row>
    <row r="5" spans="1:14" x14ac:dyDescent="0.3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>
        <v>0</v>
      </c>
      <c r="H5" s="1">
        <v>6</v>
      </c>
      <c r="I5" s="1">
        <v>0</v>
      </c>
      <c r="J5" s="1">
        <v>1</v>
      </c>
      <c r="K5" s="1">
        <v>0.24</v>
      </c>
      <c r="M5">
        <f>SUM(J2:J611)</f>
        <v>901</v>
      </c>
    </row>
    <row r="6" spans="1:14" x14ac:dyDescent="0.3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>
        <v>0</v>
      </c>
      <c r="H6" s="1">
        <v>6</v>
      </c>
      <c r="I6" s="1">
        <v>0</v>
      </c>
      <c r="J6" s="1">
        <v>1</v>
      </c>
      <c r="K6" s="1">
        <v>0.24</v>
      </c>
      <c r="L6" s="1" t="s">
        <v>742</v>
      </c>
      <c r="M6" t="s">
        <v>743</v>
      </c>
    </row>
    <row r="7" spans="1:14" x14ac:dyDescent="0.3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>
        <v>0</v>
      </c>
      <c r="H7" s="1">
        <v>6</v>
      </c>
      <c r="I7" s="1">
        <v>0</v>
      </c>
      <c r="J7" s="1">
        <v>2</v>
      </c>
      <c r="K7" s="1">
        <v>0.24</v>
      </c>
      <c r="M7">
        <f>MAX(K2:K611)</f>
        <v>0.46</v>
      </c>
    </row>
    <row r="8" spans="1:14" x14ac:dyDescent="0.3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>
        <v>0</v>
      </c>
      <c r="H8" s="1">
        <v>6</v>
      </c>
      <c r="I8" s="1">
        <v>0</v>
      </c>
      <c r="J8" s="1">
        <v>1</v>
      </c>
      <c r="K8" s="1">
        <v>0.22</v>
      </c>
      <c r="L8" s="1" t="s">
        <v>744</v>
      </c>
      <c r="M8" t="s">
        <v>745</v>
      </c>
    </row>
    <row r="9" spans="1:14" x14ac:dyDescent="0.3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>
        <v>0</v>
      </c>
      <c r="H9" s="1">
        <v>6</v>
      </c>
      <c r="I9" s="1">
        <v>0</v>
      </c>
      <c r="J9" s="1">
        <v>1</v>
      </c>
      <c r="K9" s="1">
        <v>0.2</v>
      </c>
      <c r="M9">
        <f>MIN(K2:K611)</f>
        <v>0.02</v>
      </c>
    </row>
    <row r="10" spans="1:14" x14ac:dyDescent="0.3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>
        <v>0</v>
      </c>
      <c r="H10" s="1">
        <v>6</v>
      </c>
      <c r="I10" s="1">
        <v>0</v>
      </c>
      <c r="J10" s="1">
        <v>1</v>
      </c>
      <c r="K10" s="1">
        <v>0.24</v>
      </c>
      <c r="L10" s="1" t="s">
        <v>746</v>
      </c>
      <c r="M10" t="s">
        <v>747</v>
      </c>
      <c r="N10" s="1">
        <f>AVERAGE(K2:K611)</f>
        <v>0.19688524590163942</v>
      </c>
    </row>
    <row r="11" spans="1:14" x14ac:dyDescent="0.3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>
        <v>0</v>
      </c>
      <c r="H11" s="1">
        <v>6</v>
      </c>
      <c r="I11" s="1">
        <v>0</v>
      </c>
      <c r="J11" s="1">
        <v>1</v>
      </c>
      <c r="K11" s="1">
        <v>0.32</v>
      </c>
      <c r="L11" s="1" t="s">
        <v>748</v>
      </c>
      <c r="M11" t="s">
        <v>749</v>
      </c>
      <c r="N11" s="1" t="b">
        <f>IF(H2&gt;6, "woking day")</f>
        <v>0</v>
      </c>
    </row>
    <row r="12" spans="1:14" x14ac:dyDescent="0.3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>
        <v>0</v>
      </c>
      <c r="H12" s="1">
        <v>6</v>
      </c>
      <c r="I12" s="1">
        <v>0</v>
      </c>
      <c r="J12" s="1">
        <v>1</v>
      </c>
      <c r="K12" s="1">
        <v>0.38</v>
      </c>
      <c r="L12" s="1" t="s">
        <v>750</v>
      </c>
      <c r="M12" t="s">
        <v>751</v>
      </c>
      <c r="N12" s="1">
        <f>COUNTIF(H2:H611,"6")</f>
        <v>95</v>
      </c>
    </row>
    <row r="13" spans="1:14" x14ac:dyDescent="0.3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>
        <v>0</v>
      </c>
      <c r="H13" s="1">
        <v>6</v>
      </c>
      <c r="I13" s="1">
        <v>0</v>
      </c>
      <c r="J13" s="1">
        <v>1</v>
      </c>
      <c r="K13" s="1">
        <v>0.36</v>
      </c>
      <c r="L13" s="1" t="s">
        <v>752</v>
      </c>
      <c r="M13" t="s">
        <v>753</v>
      </c>
      <c r="N13" s="1">
        <f>COUNT(I2:I611)</f>
        <v>610</v>
      </c>
    </row>
    <row r="14" spans="1:14" x14ac:dyDescent="0.3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>
        <v>0</v>
      </c>
      <c r="H14" s="1">
        <v>6</v>
      </c>
      <c r="I14" s="1">
        <v>0</v>
      </c>
      <c r="J14" s="1">
        <v>1</v>
      </c>
      <c r="K14" s="1">
        <v>0.42</v>
      </c>
      <c r="L14" s="1" t="s">
        <v>754</v>
      </c>
      <c r="M14" t="s">
        <v>755</v>
      </c>
      <c r="N14" s="1">
        <f>AVERAGE(H2:H611)</f>
        <v>2.9770491803278687</v>
      </c>
    </row>
    <row r="15" spans="1:14" x14ac:dyDescent="0.3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>
        <v>0</v>
      </c>
      <c r="H15" s="1">
        <v>6</v>
      </c>
      <c r="I15" s="1">
        <v>0</v>
      </c>
      <c r="J15" s="1">
        <v>2</v>
      </c>
      <c r="K15" s="1">
        <v>0.46</v>
      </c>
      <c r="L15" s="1" t="s">
        <v>756</v>
      </c>
      <c r="M15" t="s">
        <v>757</v>
      </c>
      <c r="N15" s="1">
        <f>COUNT(B2:B611)</f>
        <v>610</v>
      </c>
    </row>
    <row r="16" spans="1:14" x14ac:dyDescent="0.3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>
        <v>0</v>
      </c>
      <c r="H16" s="1">
        <v>6</v>
      </c>
      <c r="I16" s="1">
        <v>0</v>
      </c>
      <c r="J16" s="1">
        <v>2</v>
      </c>
      <c r="K16" s="1">
        <v>0.46</v>
      </c>
    </row>
    <row r="17" spans="1:11" x14ac:dyDescent="0.3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>
        <v>0</v>
      </c>
      <c r="H17" s="1">
        <v>6</v>
      </c>
      <c r="I17" s="1">
        <v>0</v>
      </c>
      <c r="J17" s="1">
        <v>2</v>
      </c>
      <c r="K17" s="1">
        <v>0.44</v>
      </c>
    </row>
    <row r="18" spans="1:11" x14ac:dyDescent="0.3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>
        <v>0</v>
      </c>
      <c r="H18" s="1">
        <v>6</v>
      </c>
      <c r="I18" s="1">
        <v>0</v>
      </c>
      <c r="J18" s="1">
        <v>2</v>
      </c>
      <c r="K18" s="1">
        <v>0.42</v>
      </c>
    </row>
    <row r="19" spans="1:11" x14ac:dyDescent="0.3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>
        <v>0</v>
      </c>
      <c r="H19" s="1">
        <v>6</v>
      </c>
      <c r="I19" s="1">
        <v>0</v>
      </c>
      <c r="J19" s="1">
        <v>2</v>
      </c>
      <c r="K19" s="1">
        <v>0.44</v>
      </c>
    </row>
    <row r="20" spans="1:11" x14ac:dyDescent="0.3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>
        <v>0</v>
      </c>
      <c r="H20" s="1">
        <v>6</v>
      </c>
      <c r="I20" s="1">
        <v>0</v>
      </c>
      <c r="J20" s="1">
        <v>3</v>
      </c>
      <c r="K20" s="1">
        <v>0.42</v>
      </c>
    </row>
    <row r="21" spans="1:11" x14ac:dyDescent="0.3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>
        <v>0</v>
      </c>
      <c r="H21" s="1">
        <v>6</v>
      </c>
      <c r="I21" s="1">
        <v>0</v>
      </c>
      <c r="J21" s="1">
        <v>3</v>
      </c>
      <c r="K21" s="1">
        <v>0.42</v>
      </c>
    </row>
    <row r="22" spans="1:11" x14ac:dyDescent="0.3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>
        <v>0</v>
      </c>
      <c r="H22" s="1">
        <v>6</v>
      </c>
      <c r="I22" s="1">
        <v>0</v>
      </c>
      <c r="J22" s="1">
        <v>2</v>
      </c>
      <c r="K22" s="1">
        <v>0.4</v>
      </c>
    </row>
    <row r="23" spans="1:11" x14ac:dyDescent="0.3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>
        <v>0</v>
      </c>
      <c r="H23" s="1">
        <v>6</v>
      </c>
      <c r="I23" s="1">
        <v>0</v>
      </c>
      <c r="J23" s="1">
        <v>2</v>
      </c>
      <c r="K23" s="1">
        <v>0.4</v>
      </c>
    </row>
    <row r="24" spans="1:11" x14ac:dyDescent="0.3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>
        <v>0</v>
      </c>
      <c r="H24" s="1">
        <v>6</v>
      </c>
      <c r="I24" s="1">
        <v>0</v>
      </c>
      <c r="J24" s="1">
        <v>2</v>
      </c>
      <c r="K24" s="1">
        <v>0.4</v>
      </c>
    </row>
    <row r="25" spans="1:11" x14ac:dyDescent="0.3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>
        <v>0</v>
      </c>
      <c r="H25" s="1">
        <v>6</v>
      </c>
      <c r="I25" s="1">
        <v>0</v>
      </c>
      <c r="J25" s="1">
        <v>2</v>
      </c>
      <c r="K25" s="1">
        <v>0.46</v>
      </c>
    </row>
    <row r="26" spans="1:11" x14ac:dyDescent="0.3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0.46</v>
      </c>
    </row>
    <row r="27" spans="1:11" x14ac:dyDescent="0.3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2</v>
      </c>
      <c r="K27" s="1">
        <v>0.44</v>
      </c>
    </row>
    <row r="28" spans="1:11" x14ac:dyDescent="0.3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>
        <v>0</v>
      </c>
      <c r="H28" s="1">
        <v>0</v>
      </c>
      <c r="I28" s="1">
        <v>0</v>
      </c>
      <c r="J28" s="1">
        <v>2</v>
      </c>
      <c r="K28" s="1">
        <v>0.42</v>
      </c>
    </row>
    <row r="29" spans="1:11" x14ac:dyDescent="0.3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>
        <v>0</v>
      </c>
      <c r="H29" s="1">
        <v>0</v>
      </c>
      <c r="I29" s="1">
        <v>0</v>
      </c>
      <c r="J29" s="1">
        <v>2</v>
      </c>
      <c r="K29" s="1">
        <v>0.46</v>
      </c>
    </row>
    <row r="30" spans="1:11" x14ac:dyDescent="0.3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>
        <v>0</v>
      </c>
      <c r="H30" s="1">
        <v>0</v>
      </c>
      <c r="I30" s="1">
        <v>0</v>
      </c>
      <c r="J30" s="1">
        <v>2</v>
      </c>
      <c r="K30" s="1">
        <v>0.46</v>
      </c>
    </row>
    <row r="31" spans="1:11" x14ac:dyDescent="0.3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>
        <v>0</v>
      </c>
      <c r="H31" s="1">
        <v>0</v>
      </c>
      <c r="I31" s="1">
        <v>0</v>
      </c>
      <c r="J31" s="1">
        <v>3</v>
      </c>
      <c r="K31" s="1">
        <v>0.42</v>
      </c>
    </row>
    <row r="32" spans="1:11" x14ac:dyDescent="0.3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>
        <v>0</v>
      </c>
      <c r="H32" s="1">
        <v>0</v>
      </c>
      <c r="I32" s="1">
        <v>0</v>
      </c>
      <c r="J32" s="1">
        <v>2</v>
      </c>
      <c r="K32" s="1">
        <v>0.4</v>
      </c>
    </row>
    <row r="33" spans="1:11" x14ac:dyDescent="0.3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>
        <v>0</v>
      </c>
      <c r="H33" s="1">
        <v>0</v>
      </c>
      <c r="I33" s="1">
        <v>0</v>
      </c>
      <c r="J33" s="1">
        <v>3</v>
      </c>
      <c r="K33" s="1">
        <v>0.4</v>
      </c>
    </row>
    <row r="34" spans="1:11" x14ac:dyDescent="0.3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>
        <v>0</v>
      </c>
      <c r="H34" s="1">
        <v>0</v>
      </c>
      <c r="I34" s="1">
        <v>0</v>
      </c>
      <c r="J34" s="1">
        <v>2</v>
      </c>
      <c r="K34" s="1">
        <v>0.38</v>
      </c>
    </row>
    <row r="35" spans="1:11" x14ac:dyDescent="0.3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>
        <v>0</v>
      </c>
      <c r="H35" s="1">
        <v>0</v>
      </c>
      <c r="I35" s="1">
        <v>0</v>
      </c>
      <c r="J35" s="1">
        <v>2</v>
      </c>
      <c r="K35" s="1">
        <v>0.36</v>
      </c>
    </row>
    <row r="36" spans="1:11" x14ac:dyDescent="0.3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>
        <v>0</v>
      </c>
      <c r="H36" s="1">
        <v>0</v>
      </c>
      <c r="I36" s="1">
        <v>0</v>
      </c>
      <c r="J36" s="1">
        <v>2</v>
      </c>
      <c r="K36" s="1">
        <v>0.36</v>
      </c>
    </row>
    <row r="37" spans="1:11" x14ac:dyDescent="0.3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>
        <v>0</v>
      </c>
      <c r="H37" s="1">
        <v>0</v>
      </c>
      <c r="I37" s="1">
        <v>0</v>
      </c>
      <c r="J37" s="1">
        <v>2</v>
      </c>
      <c r="K37" s="1">
        <v>0.36</v>
      </c>
    </row>
    <row r="38" spans="1:11" x14ac:dyDescent="0.3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>
        <v>0</v>
      </c>
      <c r="H38" s="1">
        <v>0</v>
      </c>
      <c r="I38" s="1">
        <v>0</v>
      </c>
      <c r="J38" s="1">
        <v>2</v>
      </c>
      <c r="K38" s="1">
        <v>0.36</v>
      </c>
    </row>
    <row r="39" spans="1:11" x14ac:dyDescent="0.3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>
        <v>0</v>
      </c>
      <c r="H39" s="1">
        <v>0</v>
      </c>
      <c r="I39" s="1">
        <v>0</v>
      </c>
      <c r="J39" s="1">
        <v>3</v>
      </c>
      <c r="K39" s="1">
        <v>0.36</v>
      </c>
    </row>
    <row r="40" spans="1:11" x14ac:dyDescent="0.3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>
        <v>0</v>
      </c>
      <c r="H40" s="1">
        <v>0</v>
      </c>
      <c r="I40" s="1">
        <v>0</v>
      </c>
      <c r="J40" s="1">
        <v>3</v>
      </c>
      <c r="K40" s="1">
        <v>0.34</v>
      </c>
    </row>
    <row r="41" spans="1:11" x14ac:dyDescent="0.3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>
        <v>0</v>
      </c>
      <c r="H41" s="1">
        <v>0</v>
      </c>
      <c r="I41" s="1">
        <v>0</v>
      </c>
      <c r="J41" s="1">
        <v>3</v>
      </c>
      <c r="K41" s="1">
        <v>0.34</v>
      </c>
    </row>
    <row r="42" spans="1:11" x14ac:dyDescent="0.3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>
        <v>0</v>
      </c>
      <c r="H42" s="1">
        <v>0</v>
      </c>
      <c r="I42" s="1">
        <v>0</v>
      </c>
      <c r="J42" s="1">
        <v>1</v>
      </c>
      <c r="K42" s="1">
        <v>0.34</v>
      </c>
    </row>
    <row r="43" spans="1:11" x14ac:dyDescent="0.3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>
        <v>0</v>
      </c>
      <c r="H43" s="1">
        <v>0</v>
      </c>
      <c r="I43" s="1">
        <v>0</v>
      </c>
      <c r="J43" s="1">
        <v>2</v>
      </c>
      <c r="K43" s="1">
        <v>0.36</v>
      </c>
    </row>
    <row r="44" spans="1:11" x14ac:dyDescent="0.3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>
        <v>0</v>
      </c>
      <c r="H44" s="1">
        <v>0</v>
      </c>
      <c r="I44" s="1">
        <v>0</v>
      </c>
      <c r="J44" s="1">
        <v>1</v>
      </c>
      <c r="K44" s="1">
        <v>0.32</v>
      </c>
    </row>
    <row r="45" spans="1:11" x14ac:dyDescent="0.3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>
        <v>0</v>
      </c>
      <c r="H45" s="1">
        <v>0</v>
      </c>
      <c r="I45" s="1">
        <v>0</v>
      </c>
      <c r="J45" s="1">
        <v>1</v>
      </c>
      <c r="K45" s="1">
        <v>0.3</v>
      </c>
    </row>
    <row r="46" spans="1:11" x14ac:dyDescent="0.3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>
        <v>0</v>
      </c>
      <c r="H46" s="1">
        <v>0</v>
      </c>
      <c r="I46" s="1">
        <v>0</v>
      </c>
      <c r="J46" s="1">
        <v>1</v>
      </c>
      <c r="K46" s="1">
        <v>0.26</v>
      </c>
    </row>
    <row r="47" spans="1:11" x14ac:dyDescent="0.3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>
        <v>0</v>
      </c>
      <c r="H47" s="1">
        <v>0</v>
      </c>
      <c r="I47" s="1">
        <v>0</v>
      </c>
      <c r="J47" s="1">
        <v>1</v>
      </c>
      <c r="K47" s="1">
        <v>0.24</v>
      </c>
    </row>
    <row r="48" spans="1:11" x14ac:dyDescent="0.3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>
        <v>0</v>
      </c>
      <c r="H48" s="1">
        <v>0</v>
      </c>
      <c r="I48" s="1">
        <v>0</v>
      </c>
      <c r="J48" s="1">
        <v>1</v>
      </c>
      <c r="K48" s="1">
        <v>0.22</v>
      </c>
    </row>
    <row r="49" spans="1:11" x14ac:dyDescent="0.3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 s="1">
        <v>1</v>
      </c>
      <c r="I49" s="1">
        <v>1</v>
      </c>
      <c r="J49" s="1">
        <v>1</v>
      </c>
      <c r="K49" s="1">
        <v>0.22</v>
      </c>
    </row>
    <row r="50" spans="1:11" x14ac:dyDescent="0.3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>
        <v>0</v>
      </c>
      <c r="H50" s="1">
        <v>1</v>
      </c>
      <c r="I50" s="1">
        <v>1</v>
      </c>
      <c r="J50" s="1">
        <v>1</v>
      </c>
      <c r="K50" s="1">
        <v>0.2</v>
      </c>
    </row>
    <row r="51" spans="1:11" x14ac:dyDescent="0.3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>
        <v>0</v>
      </c>
      <c r="H51" s="1">
        <v>1</v>
      </c>
      <c r="I51" s="1">
        <v>1</v>
      </c>
      <c r="J51" s="1">
        <v>1</v>
      </c>
      <c r="K51" s="1">
        <v>0.16</v>
      </c>
    </row>
    <row r="52" spans="1:11" x14ac:dyDescent="0.3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>
        <v>0</v>
      </c>
      <c r="H52" s="1">
        <v>1</v>
      </c>
      <c r="I52" s="1">
        <v>1</v>
      </c>
      <c r="J52" s="1">
        <v>1</v>
      </c>
      <c r="K52" s="1">
        <v>0.16</v>
      </c>
    </row>
    <row r="53" spans="1:11" x14ac:dyDescent="0.3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>
        <v>0</v>
      </c>
      <c r="H53" s="1">
        <v>1</v>
      </c>
      <c r="I53" s="1">
        <v>1</v>
      </c>
      <c r="J53" s="1">
        <v>1</v>
      </c>
      <c r="K53" s="1">
        <v>0.14000000000000001</v>
      </c>
    </row>
    <row r="54" spans="1:11" x14ac:dyDescent="0.3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>
        <v>0</v>
      </c>
      <c r="H54" s="1">
        <v>1</v>
      </c>
      <c r="I54" s="1">
        <v>1</v>
      </c>
      <c r="J54" s="1">
        <v>1</v>
      </c>
      <c r="K54" s="1">
        <v>0.14000000000000001</v>
      </c>
    </row>
    <row r="55" spans="1:11" x14ac:dyDescent="0.3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>
        <v>0</v>
      </c>
      <c r="H55" s="1">
        <v>1</v>
      </c>
      <c r="I55" s="1">
        <v>1</v>
      </c>
      <c r="J55" s="1">
        <v>1</v>
      </c>
      <c r="K55" s="1">
        <v>0.14000000000000001</v>
      </c>
    </row>
    <row r="56" spans="1:11" x14ac:dyDescent="0.3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>
        <v>0</v>
      </c>
      <c r="H56" s="1">
        <v>1</v>
      </c>
      <c r="I56" s="1">
        <v>1</v>
      </c>
      <c r="J56" s="1">
        <v>1</v>
      </c>
      <c r="K56" s="1">
        <v>0.16</v>
      </c>
    </row>
    <row r="57" spans="1:11" x14ac:dyDescent="0.3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>
        <v>0</v>
      </c>
      <c r="H57" s="1">
        <v>1</v>
      </c>
      <c r="I57" s="1">
        <v>1</v>
      </c>
      <c r="J57" s="1">
        <v>1</v>
      </c>
      <c r="K57" s="1">
        <v>0.18</v>
      </c>
    </row>
    <row r="58" spans="1:11" x14ac:dyDescent="0.3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>
        <v>0</v>
      </c>
      <c r="H58" s="1">
        <v>1</v>
      </c>
      <c r="I58" s="1">
        <v>1</v>
      </c>
      <c r="J58" s="1">
        <v>1</v>
      </c>
      <c r="K58" s="1">
        <v>0.2</v>
      </c>
    </row>
    <row r="59" spans="1:11" x14ac:dyDescent="0.3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>
        <v>0</v>
      </c>
      <c r="H59" s="1">
        <v>1</v>
      </c>
      <c r="I59" s="1">
        <v>1</v>
      </c>
      <c r="J59" s="1">
        <v>1</v>
      </c>
      <c r="K59" s="1">
        <v>0.22</v>
      </c>
    </row>
    <row r="60" spans="1:11" x14ac:dyDescent="0.3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>
        <v>0</v>
      </c>
      <c r="H60" s="1">
        <v>1</v>
      </c>
      <c r="I60" s="1">
        <v>1</v>
      </c>
      <c r="J60" s="1">
        <v>1</v>
      </c>
      <c r="K60" s="1">
        <v>0.24</v>
      </c>
    </row>
    <row r="61" spans="1:11" x14ac:dyDescent="0.3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>
        <v>0</v>
      </c>
      <c r="H61" s="1">
        <v>1</v>
      </c>
      <c r="I61" s="1">
        <v>1</v>
      </c>
      <c r="J61" s="1">
        <v>1</v>
      </c>
      <c r="K61" s="1">
        <v>0.26</v>
      </c>
    </row>
    <row r="62" spans="1:11" x14ac:dyDescent="0.3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>
        <v>0</v>
      </c>
      <c r="H62" s="1">
        <v>1</v>
      </c>
      <c r="I62" s="1">
        <v>1</v>
      </c>
      <c r="J62" s="1">
        <v>1</v>
      </c>
      <c r="K62" s="1">
        <v>0.26</v>
      </c>
    </row>
    <row r="63" spans="1:11" x14ac:dyDescent="0.3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>
        <v>0</v>
      </c>
      <c r="H63" s="1">
        <v>1</v>
      </c>
      <c r="I63" s="1">
        <v>1</v>
      </c>
      <c r="J63" s="1">
        <v>1</v>
      </c>
      <c r="K63" s="1">
        <v>0.26</v>
      </c>
    </row>
    <row r="64" spans="1:11" x14ac:dyDescent="0.3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>
        <v>0</v>
      </c>
      <c r="H64" s="1">
        <v>1</v>
      </c>
      <c r="I64" s="1">
        <v>1</v>
      </c>
      <c r="J64" s="1">
        <v>1</v>
      </c>
      <c r="K64" s="1">
        <v>0.24</v>
      </c>
    </row>
    <row r="65" spans="1:11" x14ac:dyDescent="0.3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>
        <v>0</v>
      </c>
      <c r="H65" s="1">
        <v>1</v>
      </c>
      <c r="I65" s="1">
        <v>1</v>
      </c>
      <c r="J65" s="1">
        <v>1</v>
      </c>
      <c r="K65" s="1">
        <v>0.24</v>
      </c>
    </row>
    <row r="66" spans="1:11" x14ac:dyDescent="0.3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>
        <v>0</v>
      </c>
      <c r="H66" s="1">
        <v>1</v>
      </c>
      <c r="I66" s="1">
        <v>1</v>
      </c>
      <c r="J66" s="1">
        <v>1</v>
      </c>
      <c r="K66" s="1">
        <v>0.2</v>
      </c>
    </row>
    <row r="67" spans="1:11" x14ac:dyDescent="0.3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>
        <v>0</v>
      </c>
      <c r="H67" s="1">
        <v>1</v>
      </c>
      <c r="I67" s="1">
        <v>1</v>
      </c>
      <c r="J67" s="1">
        <v>1</v>
      </c>
      <c r="K67" s="1">
        <v>0.2</v>
      </c>
    </row>
    <row r="68" spans="1:11" x14ac:dyDescent="0.3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>
        <v>0</v>
      </c>
      <c r="H68" s="1">
        <v>1</v>
      </c>
      <c r="I68" s="1">
        <v>1</v>
      </c>
      <c r="J68" s="1">
        <v>1</v>
      </c>
      <c r="K68" s="1">
        <v>0.18</v>
      </c>
    </row>
    <row r="69" spans="1:11" x14ac:dyDescent="0.3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>
        <v>0</v>
      </c>
      <c r="H69" s="1">
        <v>1</v>
      </c>
      <c r="I69" s="1">
        <v>1</v>
      </c>
      <c r="J69" s="1">
        <v>1</v>
      </c>
      <c r="K69" s="1">
        <v>0.14000000000000001</v>
      </c>
    </row>
    <row r="70" spans="1:11" x14ac:dyDescent="0.3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>
        <v>0</v>
      </c>
      <c r="H70" s="1">
        <v>1</v>
      </c>
      <c r="I70" s="1">
        <v>1</v>
      </c>
      <c r="J70" s="1">
        <v>1</v>
      </c>
      <c r="K70" s="1">
        <v>0.18</v>
      </c>
    </row>
    <row r="71" spans="1:11" x14ac:dyDescent="0.3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>
        <v>0</v>
      </c>
      <c r="H71" s="1">
        <v>2</v>
      </c>
      <c r="I71" s="1">
        <v>1</v>
      </c>
      <c r="J71" s="1">
        <v>1</v>
      </c>
      <c r="K71" s="1">
        <v>0.16</v>
      </c>
    </row>
    <row r="72" spans="1:11" x14ac:dyDescent="0.3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>
        <v>0</v>
      </c>
      <c r="H72" s="1">
        <v>2</v>
      </c>
      <c r="I72" s="1">
        <v>1</v>
      </c>
      <c r="J72" s="1">
        <v>1</v>
      </c>
      <c r="K72" s="1">
        <v>0.16</v>
      </c>
    </row>
    <row r="73" spans="1:11" x14ac:dyDescent="0.3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>
        <v>0</v>
      </c>
      <c r="H73" s="1">
        <v>2</v>
      </c>
      <c r="I73" s="1">
        <v>1</v>
      </c>
      <c r="J73" s="1">
        <v>1</v>
      </c>
      <c r="K73" s="1">
        <v>0.14000000000000001</v>
      </c>
    </row>
    <row r="74" spans="1:11" x14ac:dyDescent="0.3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>
        <v>0</v>
      </c>
      <c r="H74" s="1">
        <v>2</v>
      </c>
      <c r="I74" s="1">
        <v>1</v>
      </c>
      <c r="J74" s="1">
        <v>1</v>
      </c>
      <c r="K74" s="1">
        <v>0.14000000000000001</v>
      </c>
    </row>
    <row r="75" spans="1:11" x14ac:dyDescent="0.3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>
        <v>0</v>
      </c>
      <c r="H75" s="1">
        <v>2</v>
      </c>
      <c r="I75" s="1">
        <v>1</v>
      </c>
      <c r="J75" s="1">
        <v>1</v>
      </c>
      <c r="K75" s="1">
        <v>0.12</v>
      </c>
    </row>
    <row r="76" spans="1:11" x14ac:dyDescent="0.3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>
        <v>0</v>
      </c>
      <c r="H76" s="1">
        <v>2</v>
      </c>
      <c r="I76" s="1">
        <v>1</v>
      </c>
      <c r="J76" s="1">
        <v>1</v>
      </c>
      <c r="K76" s="1">
        <v>0.12</v>
      </c>
    </row>
    <row r="77" spans="1:11" x14ac:dyDescent="0.3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>
        <v>0</v>
      </c>
      <c r="H77" s="1">
        <v>2</v>
      </c>
      <c r="I77" s="1">
        <v>1</v>
      </c>
      <c r="J77" s="1">
        <v>1</v>
      </c>
      <c r="K77" s="1">
        <v>0.12</v>
      </c>
    </row>
    <row r="78" spans="1:11" x14ac:dyDescent="0.3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>
        <v>0</v>
      </c>
      <c r="H78" s="1">
        <v>2</v>
      </c>
      <c r="I78" s="1">
        <v>1</v>
      </c>
      <c r="J78" s="1">
        <v>1</v>
      </c>
      <c r="K78" s="1">
        <v>0.14000000000000001</v>
      </c>
    </row>
    <row r="79" spans="1:11" x14ac:dyDescent="0.3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>
        <v>0</v>
      </c>
      <c r="H79" s="1">
        <v>2</v>
      </c>
      <c r="I79" s="1">
        <v>1</v>
      </c>
      <c r="J79" s="1">
        <v>1</v>
      </c>
      <c r="K79" s="1">
        <v>0.16</v>
      </c>
    </row>
    <row r="80" spans="1:11" x14ac:dyDescent="0.3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>
        <v>0</v>
      </c>
      <c r="H80" s="1">
        <v>2</v>
      </c>
      <c r="I80" s="1">
        <v>1</v>
      </c>
      <c r="J80" s="1">
        <v>2</v>
      </c>
      <c r="K80" s="1">
        <v>0.16</v>
      </c>
    </row>
    <row r="81" spans="1:11" x14ac:dyDescent="0.3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>
        <v>0</v>
      </c>
      <c r="H81" s="1">
        <v>2</v>
      </c>
      <c r="I81" s="1">
        <v>1</v>
      </c>
      <c r="J81" s="1">
        <v>1</v>
      </c>
      <c r="K81" s="1">
        <v>0.22</v>
      </c>
    </row>
    <row r="82" spans="1:11" x14ac:dyDescent="0.3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>
        <v>0</v>
      </c>
      <c r="H82" s="1">
        <v>2</v>
      </c>
      <c r="I82" s="1">
        <v>1</v>
      </c>
      <c r="J82" s="1">
        <v>1</v>
      </c>
      <c r="K82" s="1">
        <v>0.22</v>
      </c>
    </row>
    <row r="83" spans="1:11" x14ac:dyDescent="0.3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>
        <v>0</v>
      </c>
      <c r="H83" s="1">
        <v>2</v>
      </c>
      <c r="I83" s="1">
        <v>1</v>
      </c>
      <c r="J83" s="1">
        <v>1</v>
      </c>
      <c r="K83" s="1">
        <v>0.24</v>
      </c>
    </row>
    <row r="84" spans="1:11" x14ac:dyDescent="0.3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>
        <v>0</v>
      </c>
      <c r="H84" s="1">
        <v>2</v>
      </c>
      <c r="I84" s="1">
        <v>1</v>
      </c>
      <c r="J84" s="1">
        <v>1</v>
      </c>
      <c r="K84" s="1">
        <v>0.26</v>
      </c>
    </row>
    <row r="85" spans="1:11" x14ac:dyDescent="0.3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>
        <v>0</v>
      </c>
      <c r="H85" s="1">
        <v>2</v>
      </c>
      <c r="I85" s="1">
        <v>1</v>
      </c>
      <c r="J85" s="1">
        <v>1</v>
      </c>
      <c r="K85" s="1">
        <v>0.28000000000000003</v>
      </c>
    </row>
    <row r="86" spans="1:11" x14ac:dyDescent="0.3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>
        <v>0</v>
      </c>
      <c r="H86" s="1">
        <v>2</v>
      </c>
      <c r="I86" s="1">
        <v>1</v>
      </c>
      <c r="J86" s="1">
        <v>1</v>
      </c>
      <c r="K86" s="1">
        <v>0.3</v>
      </c>
    </row>
    <row r="87" spans="1:11" x14ac:dyDescent="0.3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>
        <v>0</v>
      </c>
      <c r="H87" s="1">
        <v>2</v>
      </c>
      <c r="I87" s="1">
        <v>1</v>
      </c>
      <c r="J87" s="1">
        <v>1</v>
      </c>
      <c r="K87" s="1">
        <v>0.28000000000000003</v>
      </c>
    </row>
    <row r="88" spans="1:11" x14ac:dyDescent="0.3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>
        <v>0</v>
      </c>
      <c r="H88" s="1">
        <v>2</v>
      </c>
      <c r="I88" s="1">
        <v>1</v>
      </c>
      <c r="J88" s="1">
        <v>1</v>
      </c>
      <c r="K88" s="1">
        <v>0.26</v>
      </c>
    </row>
    <row r="89" spans="1:11" x14ac:dyDescent="0.3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>
        <v>0</v>
      </c>
      <c r="H89" s="1">
        <v>2</v>
      </c>
      <c r="I89" s="1">
        <v>1</v>
      </c>
      <c r="J89" s="1">
        <v>1</v>
      </c>
      <c r="K89" s="1">
        <v>0.24</v>
      </c>
    </row>
    <row r="90" spans="1:11" x14ac:dyDescent="0.3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>
        <v>0</v>
      </c>
      <c r="H90" s="1">
        <v>2</v>
      </c>
      <c r="I90" s="1">
        <v>1</v>
      </c>
      <c r="J90" s="1">
        <v>1</v>
      </c>
      <c r="K90" s="1">
        <v>0.24</v>
      </c>
    </row>
    <row r="91" spans="1:11" x14ac:dyDescent="0.3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>
        <v>0</v>
      </c>
      <c r="H91" s="1">
        <v>2</v>
      </c>
      <c r="I91" s="1">
        <v>1</v>
      </c>
      <c r="J91" s="1">
        <v>1</v>
      </c>
      <c r="K91" s="1">
        <v>0.22</v>
      </c>
    </row>
    <row r="92" spans="1:11" x14ac:dyDescent="0.3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>
        <v>0</v>
      </c>
      <c r="H92" s="1">
        <v>2</v>
      </c>
      <c r="I92" s="1">
        <v>1</v>
      </c>
      <c r="J92" s="1">
        <v>1</v>
      </c>
      <c r="K92" s="1">
        <v>0.22</v>
      </c>
    </row>
    <row r="93" spans="1:11" x14ac:dyDescent="0.3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>
        <v>0</v>
      </c>
      <c r="H93" s="1">
        <v>2</v>
      </c>
      <c r="I93" s="1">
        <v>1</v>
      </c>
      <c r="J93" s="1">
        <v>1</v>
      </c>
      <c r="K93" s="1">
        <v>0.2</v>
      </c>
    </row>
    <row r="94" spans="1:11" x14ac:dyDescent="0.3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>
        <v>0</v>
      </c>
      <c r="H94" s="1">
        <v>3</v>
      </c>
      <c r="I94" s="1">
        <v>1</v>
      </c>
      <c r="J94" s="1">
        <v>1</v>
      </c>
      <c r="K94" s="1">
        <v>0.2</v>
      </c>
    </row>
    <row r="95" spans="1:11" x14ac:dyDescent="0.3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>
        <v>0</v>
      </c>
      <c r="H95" s="1">
        <v>3</v>
      </c>
      <c r="I95" s="1">
        <v>1</v>
      </c>
      <c r="J95" s="1">
        <v>1</v>
      </c>
      <c r="K95" s="1">
        <v>0.16</v>
      </c>
    </row>
    <row r="96" spans="1:11" x14ac:dyDescent="0.3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>
        <v>0</v>
      </c>
      <c r="H96" s="1">
        <v>3</v>
      </c>
      <c r="I96" s="1">
        <v>1</v>
      </c>
      <c r="J96" s="1">
        <v>1</v>
      </c>
      <c r="K96" s="1">
        <v>0.16</v>
      </c>
    </row>
    <row r="97" spans="1:11" x14ac:dyDescent="0.3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>
        <v>0</v>
      </c>
      <c r="H97" s="1">
        <v>3</v>
      </c>
      <c r="I97" s="1">
        <v>1</v>
      </c>
      <c r="J97" s="1">
        <v>1</v>
      </c>
      <c r="K97" s="1">
        <v>0.24</v>
      </c>
    </row>
    <row r="98" spans="1:11" x14ac:dyDescent="0.3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>
        <v>0</v>
      </c>
      <c r="H98" s="1">
        <v>3</v>
      </c>
      <c r="I98" s="1">
        <v>1</v>
      </c>
      <c r="J98" s="1">
        <v>1</v>
      </c>
      <c r="K98" s="1">
        <v>0.22</v>
      </c>
    </row>
    <row r="99" spans="1:11" x14ac:dyDescent="0.3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>
        <v>0</v>
      </c>
      <c r="H99" s="1">
        <v>3</v>
      </c>
      <c r="I99" s="1">
        <v>1</v>
      </c>
      <c r="J99" s="1">
        <v>1</v>
      </c>
      <c r="K99" s="1">
        <v>0.2</v>
      </c>
    </row>
    <row r="100" spans="1:11" x14ac:dyDescent="0.3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>
        <v>0</v>
      </c>
      <c r="H100" s="1">
        <v>3</v>
      </c>
      <c r="I100" s="1">
        <v>1</v>
      </c>
      <c r="J100" s="1">
        <v>1</v>
      </c>
      <c r="K100" s="1">
        <v>0.18</v>
      </c>
    </row>
    <row r="101" spans="1:11" x14ac:dyDescent="0.3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>
        <v>0</v>
      </c>
      <c r="H101" s="1">
        <v>3</v>
      </c>
      <c r="I101" s="1">
        <v>1</v>
      </c>
      <c r="J101" s="1">
        <v>1</v>
      </c>
      <c r="K101" s="1">
        <v>0.2</v>
      </c>
    </row>
    <row r="102" spans="1:11" x14ac:dyDescent="0.3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>
        <v>0</v>
      </c>
      <c r="H102" s="1">
        <v>3</v>
      </c>
      <c r="I102" s="1">
        <v>1</v>
      </c>
      <c r="J102" s="1">
        <v>1</v>
      </c>
      <c r="K102" s="1">
        <v>0.22</v>
      </c>
    </row>
    <row r="103" spans="1:11" x14ac:dyDescent="0.3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>
        <v>0</v>
      </c>
      <c r="H103" s="1">
        <v>3</v>
      </c>
      <c r="I103" s="1">
        <v>1</v>
      </c>
      <c r="J103" s="1">
        <v>1</v>
      </c>
      <c r="K103" s="1">
        <v>0.22</v>
      </c>
    </row>
    <row r="104" spans="1:11" x14ac:dyDescent="0.3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>
        <v>0</v>
      </c>
      <c r="H104" s="1">
        <v>3</v>
      </c>
      <c r="I104" s="1">
        <v>1</v>
      </c>
      <c r="J104" s="1">
        <v>1</v>
      </c>
      <c r="K104" s="1">
        <v>0.26</v>
      </c>
    </row>
    <row r="105" spans="1:11" x14ac:dyDescent="0.3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>
        <v>0</v>
      </c>
      <c r="H105" s="1">
        <v>3</v>
      </c>
      <c r="I105" s="1">
        <v>1</v>
      </c>
      <c r="J105" s="1">
        <v>1</v>
      </c>
      <c r="K105" s="1">
        <v>0.26</v>
      </c>
    </row>
    <row r="106" spans="1:11" x14ac:dyDescent="0.3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>
        <v>0</v>
      </c>
      <c r="H106" s="1">
        <v>3</v>
      </c>
      <c r="I106" s="1">
        <v>1</v>
      </c>
      <c r="J106" s="1">
        <v>1</v>
      </c>
      <c r="K106" s="1">
        <v>0.28000000000000003</v>
      </c>
    </row>
    <row r="107" spans="1:11" x14ac:dyDescent="0.3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>
        <v>0</v>
      </c>
      <c r="H107" s="1">
        <v>3</v>
      </c>
      <c r="I107" s="1">
        <v>1</v>
      </c>
      <c r="J107" s="1">
        <v>1</v>
      </c>
      <c r="K107" s="1">
        <v>0.3</v>
      </c>
    </row>
    <row r="108" spans="1:11" x14ac:dyDescent="0.3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>
        <v>0</v>
      </c>
      <c r="H108" s="1">
        <v>3</v>
      </c>
      <c r="I108" s="1">
        <v>1</v>
      </c>
      <c r="J108" s="1">
        <v>1</v>
      </c>
      <c r="K108" s="1">
        <v>0.3</v>
      </c>
    </row>
    <row r="109" spans="1:11" x14ac:dyDescent="0.3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>
        <v>0</v>
      </c>
      <c r="H109" s="1">
        <v>3</v>
      </c>
      <c r="I109" s="1">
        <v>1</v>
      </c>
      <c r="J109" s="1">
        <v>1</v>
      </c>
      <c r="K109" s="1">
        <v>0.3</v>
      </c>
    </row>
    <row r="110" spans="1:11" x14ac:dyDescent="0.3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>
        <v>0</v>
      </c>
      <c r="H110" s="1">
        <v>3</v>
      </c>
      <c r="I110" s="1">
        <v>1</v>
      </c>
      <c r="J110" s="1">
        <v>1</v>
      </c>
      <c r="K110" s="1">
        <v>0.24</v>
      </c>
    </row>
    <row r="111" spans="1:11" x14ac:dyDescent="0.3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>
        <v>0</v>
      </c>
      <c r="H111" s="1">
        <v>3</v>
      </c>
      <c r="I111" s="1">
        <v>1</v>
      </c>
      <c r="J111" s="1">
        <v>1</v>
      </c>
      <c r="K111" s="1">
        <v>0.24</v>
      </c>
    </row>
    <row r="112" spans="1:11" x14ac:dyDescent="0.3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>
        <v>0</v>
      </c>
      <c r="H112" s="1">
        <v>3</v>
      </c>
      <c r="I112" s="1">
        <v>1</v>
      </c>
      <c r="J112" s="1">
        <v>1</v>
      </c>
      <c r="K112" s="1">
        <v>0.24</v>
      </c>
    </row>
    <row r="113" spans="1:11" x14ac:dyDescent="0.3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>
        <v>0</v>
      </c>
      <c r="H113" s="1">
        <v>3</v>
      </c>
      <c r="I113" s="1">
        <v>1</v>
      </c>
      <c r="J113" s="1">
        <v>1</v>
      </c>
      <c r="K113" s="1">
        <v>0.22</v>
      </c>
    </row>
    <row r="114" spans="1:11" x14ac:dyDescent="0.3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>
        <v>0</v>
      </c>
      <c r="H114" s="1">
        <v>3</v>
      </c>
      <c r="I114" s="1">
        <v>1</v>
      </c>
      <c r="J114" s="1">
        <v>1</v>
      </c>
      <c r="K114" s="1">
        <v>0.2</v>
      </c>
    </row>
    <row r="115" spans="1:11" x14ac:dyDescent="0.3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>
        <v>0</v>
      </c>
      <c r="H115" s="1">
        <v>3</v>
      </c>
      <c r="I115" s="1">
        <v>1</v>
      </c>
      <c r="J115" s="1">
        <v>1</v>
      </c>
      <c r="K115" s="1">
        <v>0.18</v>
      </c>
    </row>
    <row r="116" spans="1:11" x14ac:dyDescent="0.3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>
        <v>0</v>
      </c>
      <c r="H116" s="1">
        <v>3</v>
      </c>
      <c r="I116" s="1">
        <v>1</v>
      </c>
      <c r="J116" s="1">
        <v>1</v>
      </c>
      <c r="K116" s="1">
        <v>0.2</v>
      </c>
    </row>
    <row r="117" spans="1:11" x14ac:dyDescent="0.3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4</v>
      </c>
      <c r="I117" s="1">
        <v>1</v>
      </c>
      <c r="J117" s="1">
        <v>1</v>
      </c>
      <c r="K117" s="1">
        <v>0.18</v>
      </c>
    </row>
    <row r="118" spans="1:11" x14ac:dyDescent="0.3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>
        <v>0</v>
      </c>
      <c r="H118" s="1">
        <v>4</v>
      </c>
      <c r="I118" s="1">
        <v>1</v>
      </c>
      <c r="J118" s="1">
        <v>1</v>
      </c>
      <c r="K118" s="1">
        <v>0.16</v>
      </c>
    </row>
    <row r="119" spans="1:11" x14ac:dyDescent="0.3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>
        <v>0</v>
      </c>
      <c r="H119" s="1">
        <v>4</v>
      </c>
      <c r="I119" s="1">
        <v>1</v>
      </c>
      <c r="J119" s="1">
        <v>1</v>
      </c>
      <c r="K119" s="1">
        <v>0.16</v>
      </c>
    </row>
    <row r="120" spans="1:11" x14ac:dyDescent="0.3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>
        <v>0</v>
      </c>
      <c r="H120" s="1">
        <v>4</v>
      </c>
      <c r="I120" s="1">
        <v>1</v>
      </c>
      <c r="J120" s="1">
        <v>2</v>
      </c>
      <c r="K120" s="1">
        <v>0.16</v>
      </c>
    </row>
    <row r="121" spans="1:11" x14ac:dyDescent="0.3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>
        <v>0</v>
      </c>
      <c r="H121" s="1">
        <v>4</v>
      </c>
      <c r="I121" s="1">
        <v>1</v>
      </c>
      <c r="J121" s="1">
        <v>2</v>
      </c>
      <c r="K121" s="1">
        <v>0.14000000000000001</v>
      </c>
    </row>
    <row r="122" spans="1:11" x14ac:dyDescent="0.3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>
        <v>0</v>
      </c>
      <c r="H122" s="1">
        <v>4</v>
      </c>
      <c r="I122" s="1">
        <v>1</v>
      </c>
      <c r="J122" s="1">
        <v>2</v>
      </c>
      <c r="K122" s="1">
        <v>0.14000000000000001</v>
      </c>
    </row>
    <row r="123" spans="1:11" x14ac:dyDescent="0.3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>
        <v>0</v>
      </c>
      <c r="H123" s="1">
        <v>4</v>
      </c>
      <c r="I123" s="1">
        <v>1</v>
      </c>
      <c r="J123" s="1">
        <v>2</v>
      </c>
      <c r="K123" s="1">
        <v>0.16</v>
      </c>
    </row>
    <row r="124" spans="1:11" x14ac:dyDescent="0.3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>
        <v>0</v>
      </c>
      <c r="H124" s="1">
        <v>4</v>
      </c>
      <c r="I124" s="1">
        <v>1</v>
      </c>
      <c r="J124" s="1">
        <v>1</v>
      </c>
      <c r="K124" s="1">
        <v>0.16</v>
      </c>
    </row>
    <row r="125" spans="1:11" x14ac:dyDescent="0.3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>
        <v>0</v>
      </c>
      <c r="H125" s="1">
        <v>4</v>
      </c>
      <c r="I125" s="1">
        <v>1</v>
      </c>
      <c r="J125" s="1">
        <v>2</v>
      </c>
      <c r="K125" s="1">
        <v>0.18</v>
      </c>
    </row>
    <row r="126" spans="1:11" x14ac:dyDescent="0.3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>
        <v>0</v>
      </c>
      <c r="H126" s="1">
        <v>4</v>
      </c>
      <c r="I126" s="1">
        <v>1</v>
      </c>
      <c r="J126" s="1">
        <v>1</v>
      </c>
      <c r="K126" s="1">
        <v>0.2</v>
      </c>
    </row>
    <row r="127" spans="1:11" x14ac:dyDescent="0.3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>
        <v>0</v>
      </c>
      <c r="H127" s="1">
        <v>4</v>
      </c>
      <c r="I127" s="1">
        <v>1</v>
      </c>
      <c r="J127" s="1">
        <v>1</v>
      </c>
      <c r="K127" s="1">
        <v>0.22</v>
      </c>
    </row>
    <row r="128" spans="1:11" x14ac:dyDescent="0.3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>
        <v>0</v>
      </c>
      <c r="H128" s="1">
        <v>4</v>
      </c>
      <c r="I128" s="1">
        <v>1</v>
      </c>
      <c r="J128" s="1">
        <v>1</v>
      </c>
      <c r="K128" s="1">
        <v>0.26</v>
      </c>
    </row>
    <row r="129" spans="1:11" x14ac:dyDescent="0.3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>
        <v>0</v>
      </c>
      <c r="H129" s="1">
        <v>4</v>
      </c>
      <c r="I129" s="1">
        <v>1</v>
      </c>
      <c r="J129" s="1">
        <v>1</v>
      </c>
      <c r="K129" s="1">
        <v>0.26</v>
      </c>
    </row>
    <row r="130" spans="1:11" x14ac:dyDescent="0.3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>
        <v>0</v>
      </c>
      <c r="H130" s="1">
        <v>4</v>
      </c>
      <c r="I130" s="1">
        <v>1</v>
      </c>
      <c r="J130" s="1">
        <v>1</v>
      </c>
      <c r="K130" s="1">
        <v>0.28000000000000003</v>
      </c>
    </row>
    <row r="131" spans="1:11" x14ac:dyDescent="0.3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>
        <v>0</v>
      </c>
      <c r="H131" s="1">
        <v>4</v>
      </c>
      <c r="I131" s="1">
        <v>1</v>
      </c>
      <c r="J131" s="1">
        <v>1</v>
      </c>
      <c r="K131" s="1">
        <v>0.28000000000000003</v>
      </c>
    </row>
    <row r="132" spans="1:11" x14ac:dyDescent="0.3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>
        <v>0</v>
      </c>
      <c r="H132" s="1">
        <v>4</v>
      </c>
      <c r="I132" s="1">
        <v>1</v>
      </c>
      <c r="J132" s="1">
        <v>1</v>
      </c>
      <c r="K132" s="1">
        <v>0.26</v>
      </c>
    </row>
    <row r="133" spans="1:11" x14ac:dyDescent="0.3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>
        <v>0</v>
      </c>
      <c r="H133" s="1">
        <v>4</v>
      </c>
      <c r="I133" s="1">
        <v>1</v>
      </c>
      <c r="J133" s="1">
        <v>1</v>
      </c>
      <c r="K133" s="1">
        <v>0.22</v>
      </c>
    </row>
    <row r="134" spans="1:11" x14ac:dyDescent="0.3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>
        <v>0</v>
      </c>
      <c r="H134" s="1">
        <v>4</v>
      </c>
      <c r="I134" s="1">
        <v>1</v>
      </c>
      <c r="J134" s="1">
        <v>1</v>
      </c>
      <c r="K134" s="1">
        <v>0.22</v>
      </c>
    </row>
    <row r="135" spans="1:11" x14ac:dyDescent="0.3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>
        <v>0</v>
      </c>
      <c r="H135" s="1">
        <v>4</v>
      </c>
      <c r="I135" s="1">
        <v>1</v>
      </c>
      <c r="J135" s="1">
        <v>1</v>
      </c>
      <c r="K135" s="1">
        <v>0.22</v>
      </c>
    </row>
    <row r="136" spans="1:11" x14ac:dyDescent="0.3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>
        <v>0</v>
      </c>
      <c r="H136" s="1">
        <v>4</v>
      </c>
      <c r="I136" s="1">
        <v>1</v>
      </c>
      <c r="J136" s="1">
        <v>1</v>
      </c>
      <c r="K136" s="1">
        <v>0.2</v>
      </c>
    </row>
    <row r="137" spans="1:11" x14ac:dyDescent="0.3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>
        <v>0</v>
      </c>
      <c r="H137" s="1">
        <v>4</v>
      </c>
      <c r="I137" s="1">
        <v>1</v>
      </c>
      <c r="J137" s="1">
        <v>2</v>
      </c>
      <c r="K137" s="1">
        <v>0.22</v>
      </c>
    </row>
    <row r="138" spans="1:11" x14ac:dyDescent="0.3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>
        <v>0</v>
      </c>
      <c r="H138" s="1">
        <v>4</v>
      </c>
      <c r="I138" s="1">
        <v>1</v>
      </c>
      <c r="J138" s="1">
        <v>2</v>
      </c>
      <c r="K138" s="1">
        <v>0.22</v>
      </c>
    </row>
    <row r="139" spans="1:11" x14ac:dyDescent="0.3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>
        <v>0</v>
      </c>
      <c r="H139" s="1">
        <v>4</v>
      </c>
      <c r="I139" s="1">
        <v>1</v>
      </c>
      <c r="J139" s="1">
        <v>2</v>
      </c>
      <c r="K139" s="1">
        <v>0.2</v>
      </c>
    </row>
    <row r="140" spans="1:11" x14ac:dyDescent="0.3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>
        <v>0</v>
      </c>
      <c r="H140" s="1">
        <v>5</v>
      </c>
      <c r="I140" s="1">
        <v>1</v>
      </c>
      <c r="J140" s="1">
        <v>2</v>
      </c>
      <c r="K140" s="1">
        <v>0.2</v>
      </c>
    </row>
    <row r="141" spans="1:11" x14ac:dyDescent="0.3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>
        <v>0</v>
      </c>
      <c r="H141" s="1">
        <v>5</v>
      </c>
      <c r="I141" s="1">
        <v>1</v>
      </c>
      <c r="J141" s="1">
        <v>2</v>
      </c>
      <c r="K141" s="1">
        <v>0.2</v>
      </c>
    </row>
    <row r="142" spans="1:11" x14ac:dyDescent="0.3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>
        <v>0</v>
      </c>
      <c r="H142" s="1">
        <v>5</v>
      </c>
      <c r="I142" s="1">
        <v>1</v>
      </c>
      <c r="J142" s="1">
        <v>2</v>
      </c>
      <c r="K142" s="1">
        <v>0.2</v>
      </c>
    </row>
    <row r="143" spans="1:11" x14ac:dyDescent="0.3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>
        <v>0</v>
      </c>
      <c r="H143" s="1">
        <v>5</v>
      </c>
      <c r="I143" s="1">
        <v>1</v>
      </c>
      <c r="J143" s="1">
        <v>2</v>
      </c>
      <c r="K143" s="1">
        <v>0.2</v>
      </c>
    </row>
    <row r="144" spans="1:11" x14ac:dyDescent="0.3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>
        <v>0</v>
      </c>
      <c r="H144" s="1">
        <v>5</v>
      </c>
      <c r="I144" s="1">
        <v>1</v>
      </c>
      <c r="J144" s="1">
        <v>3</v>
      </c>
      <c r="K144" s="1">
        <v>0.22</v>
      </c>
    </row>
    <row r="145" spans="1:11" x14ac:dyDescent="0.3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>
        <v>0</v>
      </c>
      <c r="H145" s="1">
        <v>5</v>
      </c>
      <c r="I145" s="1">
        <v>1</v>
      </c>
      <c r="J145" s="1">
        <v>2</v>
      </c>
      <c r="K145" s="1">
        <v>0.2</v>
      </c>
    </row>
    <row r="146" spans="1:11" x14ac:dyDescent="0.3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>
        <v>0</v>
      </c>
      <c r="H146" s="1">
        <v>5</v>
      </c>
      <c r="I146" s="1">
        <v>1</v>
      </c>
      <c r="J146" s="1">
        <v>1</v>
      </c>
      <c r="K146" s="1">
        <v>0.2</v>
      </c>
    </row>
    <row r="147" spans="1:11" x14ac:dyDescent="0.3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>
        <v>0</v>
      </c>
      <c r="H147" s="1">
        <v>5</v>
      </c>
      <c r="I147" s="1">
        <v>1</v>
      </c>
      <c r="J147" s="1">
        <v>1</v>
      </c>
      <c r="K147" s="1">
        <v>0.2</v>
      </c>
    </row>
    <row r="148" spans="1:11" x14ac:dyDescent="0.3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>
        <v>0</v>
      </c>
      <c r="H148" s="1">
        <v>5</v>
      </c>
      <c r="I148" s="1">
        <v>1</v>
      </c>
      <c r="J148" s="1">
        <v>1</v>
      </c>
      <c r="K148" s="1">
        <v>0.2</v>
      </c>
    </row>
    <row r="149" spans="1:11" x14ac:dyDescent="0.3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>
        <v>0</v>
      </c>
      <c r="H149" s="1">
        <v>5</v>
      </c>
      <c r="I149" s="1">
        <v>1</v>
      </c>
      <c r="J149" s="1">
        <v>1</v>
      </c>
      <c r="K149" s="1">
        <v>0.22</v>
      </c>
    </row>
    <row r="150" spans="1:11" x14ac:dyDescent="0.3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>
        <v>0</v>
      </c>
      <c r="H150" s="1">
        <v>5</v>
      </c>
      <c r="I150" s="1">
        <v>1</v>
      </c>
      <c r="J150" s="1">
        <v>2</v>
      </c>
      <c r="K150" s="1">
        <v>0.2</v>
      </c>
    </row>
    <row r="151" spans="1:11" x14ac:dyDescent="0.3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>
        <v>0</v>
      </c>
      <c r="H151" s="1">
        <v>5</v>
      </c>
      <c r="I151" s="1">
        <v>1</v>
      </c>
      <c r="J151" s="1">
        <v>2</v>
      </c>
      <c r="K151" s="1">
        <v>0.2</v>
      </c>
    </row>
    <row r="152" spans="1:11" x14ac:dyDescent="0.3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>
        <v>0</v>
      </c>
      <c r="H152" s="1">
        <v>5</v>
      </c>
      <c r="I152" s="1">
        <v>1</v>
      </c>
      <c r="J152" s="1">
        <v>2</v>
      </c>
      <c r="K152" s="1">
        <v>0.2</v>
      </c>
    </row>
    <row r="153" spans="1:11" x14ac:dyDescent="0.3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>
        <v>0</v>
      </c>
      <c r="H153" s="1">
        <v>5</v>
      </c>
      <c r="I153" s="1">
        <v>1</v>
      </c>
      <c r="J153" s="1">
        <v>2</v>
      </c>
      <c r="K153" s="1">
        <v>0.2</v>
      </c>
    </row>
    <row r="154" spans="1:11" x14ac:dyDescent="0.3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>
        <v>0</v>
      </c>
      <c r="H154" s="1">
        <v>5</v>
      </c>
      <c r="I154" s="1">
        <v>1</v>
      </c>
      <c r="J154" s="1">
        <v>2</v>
      </c>
      <c r="K154" s="1">
        <v>0.2</v>
      </c>
    </row>
    <row r="155" spans="1:11" x14ac:dyDescent="0.3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>
        <v>0</v>
      </c>
      <c r="H155" s="1">
        <v>5</v>
      </c>
      <c r="I155" s="1">
        <v>1</v>
      </c>
      <c r="J155" s="1">
        <v>2</v>
      </c>
      <c r="K155" s="1">
        <v>0.2</v>
      </c>
    </row>
    <row r="156" spans="1:11" x14ac:dyDescent="0.3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>
        <v>0</v>
      </c>
      <c r="H156" s="1">
        <v>5</v>
      </c>
      <c r="I156" s="1">
        <v>1</v>
      </c>
      <c r="J156" s="1">
        <v>2</v>
      </c>
      <c r="K156" s="1">
        <v>0.2</v>
      </c>
    </row>
    <row r="157" spans="1:11" x14ac:dyDescent="0.3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>
        <v>0</v>
      </c>
      <c r="H157" s="1">
        <v>5</v>
      </c>
      <c r="I157" s="1">
        <v>1</v>
      </c>
      <c r="J157" s="1">
        <v>1</v>
      </c>
      <c r="K157" s="1">
        <v>0.2</v>
      </c>
    </row>
    <row r="158" spans="1:11" x14ac:dyDescent="0.3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>
        <v>0</v>
      </c>
      <c r="H158" s="1">
        <v>5</v>
      </c>
      <c r="I158" s="1">
        <v>1</v>
      </c>
      <c r="J158" s="1">
        <v>1</v>
      </c>
      <c r="K158" s="1">
        <v>0.16</v>
      </c>
    </row>
    <row r="159" spans="1:11" x14ac:dyDescent="0.3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>
        <v>0</v>
      </c>
      <c r="H159" s="1">
        <v>5</v>
      </c>
      <c r="I159" s="1">
        <v>1</v>
      </c>
      <c r="J159" s="1">
        <v>1</v>
      </c>
      <c r="K159" s="1">
        <v>0.18</v>
      </c>
    </row>
    <row r="160" spans="1:11" x14ac:dyDescent="0.3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>
        <v>0</v>
      </c>
      <c r="H160" s="1">
        <v>5</v>
      </c>
      <c r="I160" s="1">
        <v>1</v>
      </c>
      <c r="J160" s="1">
        <v>1</v>
      </c>
      <c r="K160" s="1">
        <v>0.18</v>
      </c>
    </row>
    <row r="161" spans="1:11" x14ac:dyDescent="0.3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>
        <v>0</v>
      </c>
      <c r="H161" s="1">
        <v>5</v>
      </c>
      <c r="I161" s="1">
        <v>1</v>
      </c>
      <c r="J161" s="1">
        <v>2</v>
      </c>
      <c r="K161" s="1">
        <v>0.18</v>
      </c>
    </row>
    <row r="162" spans="1:11" x14ac:dyDescent="0.3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>
        <v>0</v>
      </c>
      <c r="H162" s="1">
        <v>5</v>
      </c>
      <c r="I162" s="1">
        <v>1</v>
      </c>
      <c r="J162" s="1">
        <v>2</v>
      </c>
      <c r="K162" s="1">
        <v>0.18</v>
      </c>
    </row>
    <row r="163" spans="1:11" x14ac:dyDescent="0.3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6</v>
      </c>
      <c r="I163" s="1">
        <v>0</v>
      </c>
      <c r="J163" s="1">
        <v>2</v>
      </c>
      <c r="K163" s="1">
        <v>0.18</v>
      </c>
    </row>
    <row r="164" spans="1:11" x14ac:dyDescent="0.3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>
        <v>0</v>
      </c>
      <c r="H164" s="1">
        <v>6</v>
      </c>
      <c r="I164" s="1">
        <v>0</v>
      </c>
      <c r="J164" s="1">
        <v>2</v>
      </c>
      <c r="K164" s="1">
        <v>0.18</v>
      </c>
    </row>
    <row r="165" spans="1:11" x14ac:dyDescent="0.3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>
        <v>0</v>
      </c>
      <c r="H165" s="1">
        <v>6</v>
      </c>
      <c r="I165" s="1">
        <v>0</v>
      </c>
      <c r="J165" s="1">
        <v>2</v>
      </c>
      <c r="K165" s="1">
        <v>0.18</v>
      </c>
    </row>
    <row r="166" spans="1:11" x14ac:dyDescent="0.3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>
        <v>0</v>
      </c>
      <c r="H166" s="1">
        <v>6</v>
      </c>
      <c r="I166" s="1">
        <v>0</v>
      </c>
      <c r="J166" s="1">
        <v>3</v>
      </c>
      <c r="K166" s="1">
        <v>0.18</v>
      </c>
    </row>
    <row r="167" spans="1:11" x14ac:dyDescent="0.3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>
        <v>0</v>
      </c>
      <c r="H167" s="1">
        <v>6</v>
      </c>
      <c r="I167" s="1">
        <v>0</v>
      </c>
      <c r="J167" s="1">
        <v>3</v>
      </c>
      <c r="K167" s="1">
        <v>0.18</v>
      </c>
    </row>
    <row r="168" spans="1:11" x14ac:dyDescent="0.3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>
        <v>0</v>
      </c>
      <c r="H168" s="1">
        <v>6</v>
      </c>
      <c r="I168" s="1">
        <v>0</v>
      </c>
      <c r="J168" s="1">
        <v>2</v>
      </c>
      <c r="K168" s="1">
        <v>0.16</v>
      </c>
    </row>
    <row r="169" spans="1:11" x14ac:dyDescent="0.3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>
        <v>0</v>
      </c>
      <c r="H169" s="1">
        <v>6</v>
      </c>
      <c r="I169" s="1">
        <v>0</v>
      </c>
      <c r="J169" s="1">
        <v>2</v>
      </c>
      <c r="K169" s="1">
        <v>0.16</v>
      </c>
    </row>
    <row r="170" spans="1:11" x14ac:dyDescent="0.3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>
        <v>0</v>
      </c>
      <c r="H170" s="1">
        <v>6</v>
      </c>
      <c r="I170" s="1">
        <v>0</v>
      </c>
      <c r="J170" s="1">
        <v>2</v>
      </c>
      <c r="K170" s="1">
        <v>0.16</v>
      </c>
    </row>
    <row r="171" spans="1:11" x14ac:dyDescent="0.3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>
        <v>0</v>
      </c>
      <c r="H171" s="1">
        <v>6</v>
      </c>
      <c r="I171" s="1">
        <v>0</v>
      </c>
      <c r="J171" s="1">
        <v>3</v>
      </c>
      <c r="K171" s="1">
        <v>0.16</v>
      </c>
    </row>
    <row r="172" spans="1:11" x14ac:dyDescent="0.3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>
        <v>0</v>
      </c>
      <c r="H172" s="1">
        <v>6</v>
      </c>
      <c r="I172" s="1">
        <v>0</v>
      </c>
      <c r="J172" s="1">
        <v>3</v>
      </c>
      <c r="K172" s="1">
        <v>0.16</v>
      </c>
    </row>
    <row r="173" spans="1:11" x14ac:dyDescent="0.3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>
        <v>0</v>
      </c>
      <c r="H173" s="1">
        <v>6</v>
      </c>
      <c r="I173" s="1">
        <v>0</v>
      </c>
      <c r="J173" s="1">
        <v>2</v>
      </c>
      <c r="K173" s="1">
        <v>0.18</v>
      </c>
    </row>
    <row r="174" spans="1:11" x14ac:dyDescent="0.3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>
        <v>0</v>
      </c>
      <c r="H174" s="1">
        <v>6</v>
      </c>
      <c r="I174" s="1">
        <v>0</v>
      </c>
      <c r="J174" s="1">
        <v>2</v>
      </c>
      <c r="K174" s="1">
        <v>0.2</v>
      </c>
    </row>
    <row r="175" spans="1:11" x14ac:dyDescent="0.3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>
        <v>0</v>
      </c>
      <c r="H175" s="1">
        <v>6</v>
      </c>
      <c r="I175" s="1">
        <v>0</v>
      </c>
      <c r="J175" s="1">
        <v>2</v>
      </c>
      <c r="K175" s="1">
        <v>0.2</v>
      </c>
    </row>
    <row r="176" spans="1:11" x14ac:dyDescent="0.3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>
        <v>0</v>
      </c>
      <c r="H176" s="1">
        <v>6</v>
      </c>
      <c r="I176" s="1">
        <v>0</v>
      </c>
      <c r="J176" s="1">
        <v>1</v>
      </c>
      <c r="K176" s="1">
        <v>0.2</v>
      </c>
    </row>
    <row r="177" spans="1:11" x14ac:dyDescent="0.3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>
        <v>0</v>
      </c>
      <c r="H177" s="1">
        <v>6</v>
      </c>
      <c r="I177" s="1">
        <v>0</v>
      </c>
      <c r="J177" s="1">
        <v>1</v>
      </c>
      <c r="K177" s="1">
        <v>0.2</v>
      </c>
    </row>
    <row r="178" spans="1:11" x14ac:dyDescent="0.3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>
        <v>0</v>
      </c>
      <c r="H178" s="1">
        <v>6</v>
      </c>
      <c r="I178" s="1">
        <v>0</v>
      </c>
      <c r="J178" s="1">
        <v>1</v>
      </c>
      <c r="K178" s="1">
        <v>0.2</v>
      </c>
    </row>
    <row r="179" spans="1:11" x14ac:dyDescent="0.3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>
        <v>0</v>
      </c>
      <c r="H179" s="1">
        <v>6</v>
      </c>
      <c r="I179" s="1">
        <v>0</v>
      </c>
      <c r="J179" s="1">
        <v>1</v>
      </c>
      <c r="K179" s="1">
        <v>0.18</v>
      </c>
    </row>
    <row r="180" spans="1:11" x14ac:dyDescent="0.3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>
        <v>0</v>
      </c>
      <c r="H180" s="1">
        <v>6</v>
      </c>
      <c r="I180" s="1">
        <v>0</v>
      </c>
      <c r="J180" s="1">
        <v>1</v>
      </c>
      <c r="K180" s="1">
        <v>0.16</v>
      </c>
    </row>
    <row r="181" spans="1:11" x14ac:dyDescent="0.3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>
        <v>0</v>
      </c>
      <c r="H181" s="1">
        <v>6</v>
      </c>
      <c r="I181" s="1">
        <v>0</v>
      </c>
      <c r="J181" s="1">
        <v>1</v>
      </c>
      <c r="K181" s="1">
        <v>0.14000000000000001</v>
      </c>
    </row>
    <row r="182" spans="1:11" x14ac:dyDescent="0.3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>
        <v>0</v>
      </c>
      <c r="H182" s="1">
        <v>6</v>
      </c>
      <c r="I182" s="1">
        <v>0</v>
      </c>
      <c r="J182" s="1">
        <v>1</v>
      </c>
      <c r="K182" s="1">
        <v>0.14000000000000001</v>
      </c>
    </row>
    <row r="183" spans="1:11" x14ac:dyDescent="0.3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>
        <v>0</v>
      </c>
      <c r="H183" s="1">
        <v>6</v>
      </c>
      <c r="I183" s="1">
        <v>0</v>
      </c>
      <c r="J183" s="1">
        <v>1</v>
      </c>
      <c r="K183" s="1">
        <v>0.12</v>
      </c>
    </row>
    <row r="184" spans="1:11" x14ac:dyDescent="0.3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>
        <v>0</v>
      </c>
      <c r="H184" s="1">
        <v>6</v>
      </c>
      <c r="I184" s="1">
        <v>0</v>
      </c>
      <c r="J184" s="1">
        <v>1</v>
      </c>
      <c r="K184" s="1">
        <v>0.12</v>
      </c>
    </row>
    <row r="185" spans="1:11" x14ac:dyDescent="0.3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>
        <v>0</v>
      </c>
      <c r="H185" s="1">
        <v>6</v>
      </c>
      <c r="I185" s="1">
        <v>0</v>
      </c>
      <c r="J185" s="1">
        <v>1</v>
      </c>
      <c r="K185" s="1">
        <v>0.12</v>
      </c>
    </row>
    <row r="186" spans="1:11" x14ac:dyDescent="0.3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>
        <v>0</v>
      </c>
      <c r="H186" s="1">
        <v>6</v>
      </c>
      <c r="I186" s="1">
        <v>0</v>
      </c>
      <c r="J186" s="1">
        <v>1</v>
      </c>
      <c r="K186" s="1">
        <v>0.1</v>
      </c>
    </row>
    <row r="187" spans="1:11" x14ac:dyDescent="0.3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">
        <v>0</v>
      </c>
      <c r="J187" s="1">
        <v>1</v>
      </c>
      <c r="K187" s="1">
        <v>0.1</v>
      </c>
    </row>
    <row r="188" spans="1:11" x14ac:dyDescent="0.3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1</v>
      </c>
      <c r="K188" s="1">
        <v>0.1</v>
      </c>
    </row>
    <row r="189" spans="1:11" x14ac:dyDescent="0.3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>
        <v>0</v>
      </c>
      <c r="H189" s="1">
        <v>0</v>
      </c>
      <c r="I189" s="1">
        <v>0</v>
      </c>
      <c r="J189" s="1">
        <v>1</v>
      </c>
      <c r="K189" s="1">
        <v>0.1</v>
      </c>
    </row>
    <row r="190" spans="1:11" x14ac:dyDescent="0.3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>
        <v>0</v>
      </c>
      <c r="H190" s="1">
        <v>0</v>
      </c>
      <c r="I190" s="1">
        <v>0</v>
      </c>
      <c r="J190" s="1">
        <v>1</v>
      </c>
      <c r="K190" s="1">
        <v>0.1</v>
      </c>
    </row>
    <row r="191" spans="1:11" x14ac:dyDescent="0.3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>
        <v>0</v>
      </c>
      <c r="H191" s="1">
        <v>0</v>
      </c>
      <c r="I191" s="1">
        <v>0</v>
      </c>
      <c r="J191" s="1">
        <v>1</v>
      </c>
      <c r="K191" s="1">
        <v>0.08</v>
      </c>
    </row>
    <row r="192" spans="1:11" x14ac:dyDescent="0.3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>
        <v>0</v>
      </c>
      <c r="H192" s="1">
        <v>0</v>
      </c>
      <c r="I192" s="1">
        <v>0</v>
      </c>
      <c r="J192" s="1">
        <v>1</v>
      </c>
      <c r="K192" s="1">
        <v>0.08</v>
      </c>
    </row>
    <row r="193" spans="1:11" x14ac:dyDescent="0.3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>
        <v>0</v>
      </c>
      <c r="H193" s="1">
        <v>0</v>
      </c>
      <c r="I193" s="1">
        <v>0</v>
      </c>
      <c r="J193" s="1">
        <v>1</v>
      </c>
      <c r="K193" s="1">
        <v>0.1</v>
      </c>
    </row>
    <row r="194" spans="1:11" x14ac:dyDescent="0.3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>
        <v>0</v>
      </c>
      <c r="H194" s="1">
        <v>0</v>
      </c>
      <c r="I194" s="1">
        <v>0</v>
      </c>
      <c r="J194" s="1">
        <v>1</v>
      </c>
      <c r="K194" s="1">
        <v>0.08</v>
      </c>
    </row>
    <row r="195" spans="1:11" x14ac:dyDescent="0.3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>
        <v>0</v>
      </c>
      <c r="H195" s="1">
        <v>0</v>
      </c>
      <c r="I195" s="1">
        <v>0</v>
      </c>
      <c r="J195" s="1">
        <v>1</v>
      </c>
      <c r="K195" s="1">
        <v>0.1</v>
      </c>
    </row>
    <row r="196" spans="1:11" x14ac:dyDescent="0.3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>
        <v>0</v>
      </c>
      <c r="H196" s="1">
        <v>0</v>
      </c>
      <c r="I196" s="1">
        <v>0</v>
      </c>
      <c r="J196" s="1">
        <v>1</v>
      </c>
      <c r="K196" s="1">
        <v>0.12</v>
      </c>
    </row>
    <row r="197" spans="1:11" x14ac:dyDescent="0.3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>
        <v>0</v>
      </c>
      <c r="H197" s="1">
        <v>0</v>
      </c>
      <c r="I197" s="1">
        <v>0</v>
      </c>
      <c r="J197" s="1">
        <v>1</v>
      </c>
      <c r="K197" s="1">
        <v>0.14000000000000001</v>
      </c>
    </row>
    <row r="198" spans="1:11" x14ac:dyDescent="0.3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>
        <v>0</v>
      </c>
      <c r="H198" s="1">
        <v>0</v>
      </c>
      <c r="I198" s="1">
        <v>0</v>
      </c>
      <c r="J198" s="1">
        <v>1</v>
      </c>
      <c r="K198" s="1">
        <v>0.16</v>
      </c>
    </row>
    <row r="199" spans="1:11" x14ac:dyDescent="0.3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>
        <v>0</v>
      </c>
      <c r="H199" s="1">
        <v>0</v>
      </c>
      <c r="I199" s="1">
        <v>0</v>
      </c>
      <c r="J199" s="1">
        <v>1</v>
      </c>
      <c r="K199" s="1">
        <v>0.18</v>
      </c>
    </row>
    <row r="200" spans="1:11" x14ac:dyDescent="0.3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>
        <v>0</v>
      </c>
      <c r="H200" s="1">
        <v>0</v>
      </c>
      <c r="I200" s="1">
        <v>0</v>
      </c>
      <c r="J200" s="1">
        <v>1</v>
      </c>
      <c r="K200" s="1">
        <v>0.2</v>
      </c>
    </row>
    <row r="201" spans="1:11" x14ac:dyDescent="0.3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>
        <v>0</v>
      </c>
      <c r="H201" s="1">
        <v>0</v>
      </c>
      <c r="I201" s="1">
        <v>0</v>
      </c>
      <c r="J201" s="1">
        <v>1</v>
      </c>
      <c r="K201" s="1">
        <v>0.22</v>
      </c>
    </row>
    <row r="202" spans="1:11" x14ac:dyDescent="0.3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>
        <v>0</v>
      </c>
      <c r="H202" s="1">
        <v>0</v>
      </c>
      <c r="I202" s="1">
        <v>0</v>
      </c>
      <c r="J202" s="1">
        <v>1</v>
      </c>
      <c r="K202" s="1">
        <v>0.22</v>
      </c>
    </row>
    <row r="203" spans="1:11" x14ac:dyDescent="0.3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>
        <v>0</v>
      </c>
      <c r="H203" s="1">
        <v>0</v>
      </c>
      <c r="I203" s="1">
        <v>0</v>
      </c>
      <c r="J203" s="1">
        <v>1</v>
      </c>
      <c r="K203" s="1">
        <v>0.2</v>
      </c>
    </row>
    <row r="204" spans="1:11" x14ac:dyDescent="0.3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>
        <v>0</v>
      </c>
      <c r="H204" s="1">
        <v>0</v>
      </c>
      <c r="I204" s="1">
        <v>0</v>
      </c>
      <c r="J204" s="1">
        <v>1</v>
      </c>
      <c r="K204" s="1">
        <v>0.18</v>
      </c>
    </row>
    <row r="205" spans="1:11" x14ac:dyDescent="0.3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>
        <v>0</v>
      </c>
      <c r="H205" s="1">
        <v>0</v>
      </c>
      <c r="I205" s="1">
        <v>0</v>
      </c>
      <c r="J205" s="1">
        <v>1</v>
      </c>
      <c r="K205" s="1">
        <v>0.16</v>
      </c>
    </row>
    <row r="206" spans="1:11" x14ac:dyDescent="0.3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>
        <v>0</v>
      </c>
      <c r="H206" s="1">
        <v>0</v>
      </c>
      <c r="I206" s="1">
        <v>0</v>
      </c>
      <c r="J206" s="1">
        <v>1</v>
      </c>
      <c r="K206" s="1">
        <v>0.16</v>
      </c>
    </row>
    <row r="207" spans="1:11" x14ac:dyDescent="0.3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>
        <v>0</v>
      </c>
      <c r="H207" s="1">
        <v>0</v>
      </c>
      <c r="I207" s="1">
        <v>0</v>
      </c>
      <c r="J207" s="1">
        <v>1</v>
      </c>
      <c r="K207" s="1">
        <v>0.14000000000000001</v>
      </c>
    </row>
    <row r="208" spans="1:11" x14ac:dyDescent="0.3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>
        <v>0</v>
      </c>
      <c r="H208" s="1">
        <v>0</v>
      </c>
      <c r="I208" s="1">
        <v>0</v>
      </c>
      <c r="J208" s="1">
        <v>1</v>
      </c>
      <c r="K208" s="1">
        <v>0.14000000000000001</v>
      </c>
    </row>
    <row r="209" spans="1:11" x14ac:dyDescent="0.3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>
        <v>0</v>
      </c>
      <c r="H209" s="1">
        <v>0</v>
      </c>
      <c r="I209" s="1">
        <v>0</v>
      </c>
      <c r="J209" s="1">
        <v>1</v>
      </c>
      <c r="K209" s="1">
        <v>0.14000000000000001</v>
      </c>
    </row>
    <row r="210" spans="1:11" x14ac:dyDescent="0.3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>
        <v>0</v>
      </c>
      <c r="H210" s="1">
        <v>0</v>
      </c>
      <c r="I210" s="1">
        <v>0</v>
      </c>
      <c r="J210" s="1">
        <v>1</v>
      </c>
      <c r="K210" s="1">
        <v>0.12</v>
      </c>
    </row>
    <row r="211" spans="1:11" x14ac:dyDescent="0.3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>
        <v>0</v>
      </c>
      <c r="H211" s="1">
        <v>1</v>
      </c>
      <c r="I211" s="1">
        <v>1</v>
      </c>
      <c r="J211" s="1">
        <v>1</v>
      </c>
      <c r="K211" s="1">
        <v>0.12</v>
      </c>
    </row>
    <row r="212" spans="1:11" x14ac:dyDescent="0.3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>
        <v>0</v>
      </c>
      <c r="H212" s="1">
        <v>1</v>
      </c>
      <c r="I212" s="1">
        <v>1</v>
      </c>
      <c r="J212" s="1">
        <v>1</v>
      </c>
      <c r="K212" s="1">
        <v>0.12</v>
      </c>
    </row>
    <row r="213" spans="1:11" x14ac:dyDescent="0.3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>
        <v>0</v>
      </c>
      <c r="H213" s="1">
        <v>1</v>
      </c>
      <c r="I213" s="1">
        <v>1</v>
      </c>
      <c r="J213" s="1">
        <v>1</v>
      </c>
      <c r="K213" s="1">
        <v>0.12</v>
      </c>
    </row>
    <row r="214" spans="1:11" x14ac:dyDescent="0.3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>
        <v>0</v>
      </c>
      <c r="H214" s="1">
        <v>1</v>
      </c>
      <c r="I214" s="1">
        <v>1</v>
      </c>
      <c r="J214" s="1">
        <v>1</v>
      </c>
      <c r="K214" s="1">
        <v>0.12</v>
      </c>
    </row>
    <row r="215" spans="1:11" x14ac:dyDescent="0.3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>
        <v>0</v>
      </c>
      <c r="H215" s="1">
        <v>1</v>
      </c>
      <c r="I215" s="1">
        <v>1</v>
      </c>
      <c r="J215" s="1">
        <v>1</v>
      </c>
      <c r="K215" s="1">
        <v>0.1</v>
      </c>
    </row>
    <row r="216" spans="1:11" x14ac:dyDescent="0.3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>
        <v>0</v>
      </c>
      <c r="H216" s="1">
        <v>1</v>
      </c>
      <c r="I216" s="1">
        <v>1</v>
      </c>
      <c r="J216" s="1">
        <v>1</v>
      </c>
      <c r="K216" s="1">
        <v>0.1</v>
      </c>
    </row>
    <row r="217" spans="1:11" x14ac:dyDescent="0.3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>
        <v>0</v>
      </c>
      <c r="H217" s="1">
        <v>1</v>
      </c>
      <c r="I217" s="1">
        <v>1</v>
      </c>
      <c r="J217" s="1">
        <v>1</v>
      </c>
      <c r="K217" s="1">
        <v>0.12</v>
      </c>
    </row>
    <row r="218" spans="1:11" x14ac:dyDescent="0.3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>
        <v>0</v>
      </c>
      <c r="H218" s="1">
        <v>1</v>
      </c>
      <c r="I218" s="1">
        <v>1</v>
      </c>
      <c r="J218" s="1">
        <v>1</v>
      </c>
      <c r="K218" s="1">
        <v>0.12</v>
      </c>
    </row>
    <row r="219" spans="1:11" x14ac:dyDescent="0.3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>
        <v>0</v>
      </c>
      <c r="H219" s="1">
        <v>1</v>
      </c>
      <c r="I219" s="1">
        <v>1</v>
      </c>
      <c r="J219" s="1">
        <v>2</v>
      </c>
      <c r="K219" s="1">
        <v>0.12</v>
      </c>
    </row>
    <row r="220" spans="1:11" x14ac:dyDescent="0.3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>
        <v>0</v>
      </c>
      <c r="H220" s="1">
        <v>1</v>
      </c>
      <c r="I220" s="1">
        <v>1</v>
      </c>
      <c r="J220" s="1">
        <v>2</v>
      </c>
      <c r="K220" s="1">
        <v>0.14000000000000001</v>
      </c>
    </row>
    <row r="221" spans="1:11" x14ac:dyDescent="0.3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>
        <v>0</v>
      </c>
      <c r="H221" s="1">
        <v>1</v>
      </c>
      <c r="I221" s="1">
        <v>1</v>
      </c>
      <c r="J221" s="1">
        <v>2</v>
      </c>
      <c r="K221" s="1">
        <v>0.14000000000000001</v>
      </c>
    </row>
    <row r="222" spans="1:11" x14ac:dyDescent="0.3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>
        <v>0</v>
      </c>
      <c r="H222" s="1">
        <v>1</v>
      </c>
      <c r="I222" s="1">
        <v>1</v>
      </c>
      <c r="J222" s="1">
        <v>2</v>
      </c>
      <c r="K222" s="1">
        <v>0.16</v>
      </c>
    </row>
    <row r="223" spans="1:11" x14ac:dyDescent="0.3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>
        <v>0</v>
      </c>
      <c r="H223" s="1">
        <v>1</v>
      </c>
      <c r="I223" s="1">
        <v>1</v>
      </c>
      <c r="J223" s="1">
        <v>2</v>
      </c>
      <c r="K223" s="1">
        <v>0.2</v>
      </c>
    </row>
    <row r="224" spans="1:11" x14ac:dyDescent="0.3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>
        <v>0</v>
      </c>
      <c r="H224" s="1">
        <v>1</v>
      </c>
      <c r="I224" s="1">
        <v>1</v>
      </c>
      <c r="J224" s="1">
        <v>2</v>
      </c>
      <c r="K224" s="1">
        <v>0.2</v>
      </c>
    </row>
    <row r="225" spans="1:11" x14ac:dyDescent="0.3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>
        <v>0</v>
      </c>
      <c r="H225" s="1">
        <v>1</v>
      </c>
      <c r="I225" s="1">
        <v>1</v>
      </c>
      <c r="J225" s="1">
        <v>2</v>
      </c>
      <c r="K225" s="1">
        <v>0.2</v>
      </c>
    </row>
    <row r="226" spans="1:11" x14ac:dyDescent="0.3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>
        <v>0</v>
      </c>
      <c r="H226" s="1">
        <v>1</v>
      </c>
      <c r="I226" s="1">
        <v>1</v>
      </c>
      <c r="J226" s="1">
        <v>2</v>
      </c>
      <c r="K226" s="1">
        <v>0.2</v>
      </c>
    </row>
    <row r="227" spans="1:11" x14ac:dyDescent="0.3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>
        <v>0</v>
      </c>
      <c r="H227" s="1">
        <v>1</v>
      </c>
      <c r="I227" s="1">
        <v>1</v>
      </c>
      <c r="J227" s="1">
        <v>1</v>
      </c>
      <c r="K227" s="1">
        <v>0.2</v>
      </c>
    </row>
    <row r="228" spans="1:11" x14ac:dyDescent="0.3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>
        <v>0</v>
      </c>
      <c r="H228" s="1">
        <v>1</v>
      </c>
      <c r="I228" s="1">
        <v>1</v>
      </c>
      <c r="J228" s="1">
        <v>1</v>
      </c>
      <c r="K228" s="1">
        <v>0.2</v>
      </c>
    </row>
    <row r="229" spans="1:11" x14ac:dyDescent="0.3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>
        <v>0</v>
      </c>
      <c r="H229" s="1">
        <v>1</v>
      </c>
      <c r="I229" s="1">
        <v>1</v>
      </c>
      <c r="J229" s="1">
        <v>1</v>
      </c>
      <c r="K229" s="1">
        <v>0.2</v>
      </c>
    </row>
    <row r="230" spans="1:11" x14ac:dyDescent="0.3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>
        <v>0</v>
      </c>
      <c r="H230" s="1">
        <v>1</v>
      </c>
      <c r="I230" s="1">
        <v>1</v>
      </c>
      <c r="J230" s="1">
        <v>1</v>
      </c>
      <c r="K230" s="1">
        <v>0.16</v>
      </c>
    </row>
    <row r="231" spans="1:11" x14ac:dyDescent="0.3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>
        <v>0</v>
      </c>
      <c r="H231" s="1">
        <v>1</v>
      </c>
      <c r="I231" s="1">
        <v>1</v>
      </c>
      <c r="J231" s="1">
        <v>1</v>
      </c>
      <c r="K231" s="1">
        <v>0.16</v>
      </c>
    </row>
    <row r="232" spans="1:11" x14ac:dyDescent="0.3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>
        <v>0</v>
      </c>
      <c r="H232" s="1">
        <v>1</v>
      </c>
      <c r="I232" s="1">
        <v>1</v>
      </c>
      <c r="J232" s="1">
        <v>1</v>
      </c>
      <c r="K232" s="1">
        <v>0.14000000000000001</v>
      </c>
    </row>
    <row r="233" spans="1:11" x14ac:dyDescent="0.3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>
        <v>0</v>
      </c>
      <c r="H233" s="1">
        <v>1</v>
      </c>
      <c r="I233" s="1">
        <v>1</v>
      </c>
      <c r="J233" s="1">
        <v>1</v>
      </c>
      <c r="K233" s="1">
        <v>0.14000000000000001</v>
      </c>
    </row>
    <row r="234" spans="1:11" x14ac:dyDescent="0.3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>
        <v>0</v>
      </c>
      <c r="H234" s="1">
        <v>1</v>
      </c>
      <c r="I234" s="1">
        <v>1</v>
      </c>
      <c r="J234" s="1">
        <v>1</v>
      </c>
      <c r="K234" s="1">
        <v>0.14000000000000001</v>
      </c>
    </row>
    <row r="235" spans="1:11" x14ac:dyDescent="0.3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>
        <v>0</v>
      </c>
      <c r="H235" s="1">
        <v>2</v>
      </c>
      <c r="I235" s="1">
        <v>1</v>
      </c>
      <c r="J235" s="1">
        <v>1</v>
      </c>
      <c r="K235" s="1">
        <v>0.14000000000000001</v>
      </c>
    </row>
    <row r="236" spans="1:11" x14ac:dyDescent="0.3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>
        <v>0</v>
      </c>
      <c r="H236" s="1">
        <v>2</v>
      </c>
      <c r="I236" s="1">
        <v>1</v>
      </c>
      <c r="J236" s="1">
        <v>1</v>
      </c>
      <c r="K236" s="1">
        <v>0.14000000000000001</v>
      </c>
    </row>
    <row r="237" spans="1:11" x14ac:dyDescent="0.3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>
        <v>0</v>
      </c>
      <c r="H237" s="1">
        <v>2</v>
      </c>
      <c r="I237" s="1">
        <v>1</v>
      </c>
      <c r="J237" s="1">
        <v>2</v>
      </c>
      <c r="K237" s="1">
        <v>0.16</v>
      </c>
    </row>
    <row r="238" spans="1:11" x14ac:dyDescent="0.3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>
        <v>0</v>
      </c>
      <c r="H238" s="1">
        <v>2</v>
      </c>
      <c r="I238" s="1">
        <v>1</v>
      </c>
      <c r="J238" s="1">
        <v>2</v>
      </c>
      <c r="K238" s="1">
        <v>0.16</v>
      </c>
    </row>
    <row r="239" spans="1:11" x14ac:dyDescent="0.3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>
        <v>0</v>
      </c>
      <c r="H239" s="1">
        <v>2</v>
      </c>
      <c r="I239" s="1">
        <v>1</v>
      </c>
      <c r="J239" s="1">
        <v>2</v>
      </c>
      <c r="K239" s="1">
        <v>0.16</v>
      </c>
    </row>
    <row r="240" spans="1:11" x14ac:dyDescent="0.3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>
        <v>0</v>
      </c>
      <c r="H240" s="1">
        <v>2</v>
      </c>
      <c r="I240" s="1">
        <v>1</v>
      </c>
      <c r="J240" s="1">
        <v>2</v>
      </c>
      <c r="K240" s="1">
        <v>0.16</v>
      </c>
    </row>
    <row r="241" spans="1:11" x14ac:dyDescent="0.3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>
        <v>0</v>
      </c>
      <c r="H241" s="1">
        <v>2</v>
      </c>
      <c r="I241" s="1">
        <v>1</v>
      </c>
      <c r="J241" s="1">
        <v>2</v>
      </c>
      <c r="K241" s="1">
        <v>0.18</v>
      </c>
    </row>
    <row r="242" spans="1:11" x14ac:dyDescent="0.3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>
        <v>0</v>
      </c>
      <c r="H242" s="1">
        <v>2</v>
      </c>
      <c r="I242" s="1">
        <v>1</v>
      </c>
      <c r="J242" s="1">
        <v>2</v>
      </c>
      <c r="K242" s="1">
        <v>0.18</v>
      </c>
    </row>
    <row r="243" spans="1:11" x14ac:dyDescent="0.3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>
        <v>0</v>
      </c>
      <c r="H243" s="1">
        <v>2</v>
      </c>
      <c r="I243" s="1">
        <v>1</v>
      </c>
      <c r="J243" s="1">
        <v>2</v>
      </c>
      <c r="K243" s="1">
        <v>0.2</v>
      </c>
    </row>
    <row r="244" spans="1:11" x14ac:dyDescent="0.3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>
        <v>0</v>
      </c>
      <c r="H244" s="1">
        <v>2</v>
      </c>
      <c r="I244" s="1">
        <v>1</v>
      </c>
      <c r="J244" s="1">
        <v>2</v>
      </c>
      <c r="K244" s="1">
        <v>0.2</v>
      </c>
    </row>
    <row r="245" spans="1:11" x14ac:dyDescent="0.3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>
        <v>0</v>
      </c>
      <c r="H245" s="1">
        <v>2</v>
      </c>
      <c r="I245" s="1">
        <v>1</v>
      </c>
      <c r="J245" s="1">
        <v>2</v>
      </c>
      <c r="K245" s="1">
        <v>0.2</v>
      </c>
    </row>
    <row r="246" spans="1:11" x14ac:dyDescent="0.3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>
        <v>0</v>
      </c>
      <c r="H246" s="1">
        <v>2</v>
      </c>
      <c r="I246" s="1">
        <v>1</v>
      </c>
      <c r="J246" s="1">
        <v>2</v>
      </c>
      <c r="K246" s="1">
        <v>0.2</v>
      </c>
    </row>
    <row r="247" spans="1:11" x14ac:dyDescent="0.3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>
        <v>0</v>
      </c>
      <c r="H247" s="1">
        <v>2</v>
      </c>
      <c r="I247" s="1">
        <v>1</v>
      </c>
      <c r="J247" s="1">
        <v>2</v>
      </c>
      <c r="K247" s="1">
        <v>0.2</v>
      </c>
    </row>
    <row r="248" spans="1:11" x14ac:dyDescent="0.3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>
        <v>0</v>
      </c>
      <c r="H248" s="1">
        <v>2</v>
      </c>
      <c r="I248" s="1">
        <v>1</v>
      </c>
      <c r="J248" s="1">
        <v>2</v>
      </c>
      <c r="K248" s="1">
        <v>0.16</v>
      </c>
    </row>
    <row r="249" spans="1:11" x14ac:dyDescent="0.3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>
        <v>0</v>
      </c>
      <c r="H249" s="1">
        <v>2</v>
      </c>
      <c r="I249" s="1">
        <v>1</v>
      </c>
      <c r="J249" s="1">
        <v>2</v>
      </c>
      <c r="K249" s="1">
        <v>0.16</v>
      </c>
    </row>
    <row r="250" spans="1:11" x14ac:dyDescent="0.3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>
        <v>0</v>
      </c>
      <c r="H250" s="1">
        <v>2</v>
      </c>
      <c r="I250" s="1">
        <v>1</v>
      </c>
      <c r="J250" s="1">
        <v>2</v>
      </c>
      <c r="K250" s="1">
        <v>0.16</v>
      </c>
    </row>
    <row r="251" spans="1:11" x14ac:dyDescent="0.3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>
        <v>0</v>
      </c>
      <c r="H251" s="1">
        <v>2</v>
      </c>
      <c r="I251" s="1">
        <v>1</v>
      </c>
      <c r="J251" s="1">
        <v>3</v>
      </c>
      <c r="K251" s="1">
        <v>0.16</v>
      </c>
    </row>
    <row r="252" spans="1:11" x14ac:dyDescent="0.3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>
        <v>0</v>
      </c>
      <c r="H252" s="1">
        <v>2</v>
      </c>
      <c r="I252" s="1">
        <v>1</v>
      </c>
      <c r="J252" s="1">
        <v>3</v>
      </c>
      <c r="K252" s="1">
        <v>0.16</v>
      </c>
    </row>
    <row r="253" spans="1:11" x14ac:dyDescent="0.3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>
        <v>0</v>
      </c>
      <c r="H253" s="1">
        <v>2</v>
      </c>
      <c r="I253" s="1">
        <v>1</v>
      </c>
      <c r="J253" s="1">
        <v>3</v>
      </c>
      <c r="K253" s="1">
        <v>0.16</v>
      </c>
    </row>
    <row r="254" spans="1:11" x14ac:dyDescent="0.3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>
        <v>0</v>
      </c>
      <c r="H254" s="1">
        <v>2</v>
      </c>
      <c r="I254" s="1">
        <v>1</v>
      </c>
      <c r="J254" s="1">
        <v>3</v>
      </c>
      <c r="K254" s="1">
        <v>0.16</v>
      </c>
    </row>
    <row r="255" spans="1:11" x14ac:dyDescent="0.3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>
        <v>0</v>
      </c>
      <c r="H255" s="1">
        <v>2</v>
      </c>
      <c r="I255" s="1">
        <v>1</v>
      </c>
      <c r="J255" s="1">
        <v>3</v>
      </c>
      <c r="K255" s="1">
        <v>0.16</v>
      </c>
    </row>
    <row r="256" spans="1:11" x14ac:dyDescent="0.3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>
        <v>0</v>
      </c>
      <c r="H256" s="1">
        <v>2</v>
      </c>
      <c r="I256" s="1">
        <v>1</v>
      </c>
      <c r="J256" s="1">
        <v>3</v>
      </c>
      <c r="K256" s="1">
        <v>0.16</v>
      </c>
    </row>
    <row r="257" spans="1:11" x14ac:dyDescent="0.3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>
        <v>0</v>
      </c>
      <c r="H257" s="1">
        <v>3</v>
      </c>
      <c r="I257" s="1">
        <v>1</v>
      </c>
      <c r="J257" s="1">
        <v>2</v>
      </c>
      <c r="K257" s="1">
        <v>0.16</v>
      </c>
    </row>
    <row r="258" spans="1:11" x14ac:dyDescent="0.3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>
        <v>0</v>
      </c>
      <c r="H258" s="1">
        <v>3</v>
      </c>
      <c r="I258" s="1">
        <v>1</v>
      </c>
      <c r="J258" s="1">
        <v>2</v>
      </c>
      <c r="K258" s="1">
        <v>0.16</v>
      </c>
    </row>
    <row r="259" spans="1:11" x14ac:dyDescent="0.3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>
        <v>0</v>
      </c>
      <c r="H259" s="1">
        <v>3</v>
      </c>
      <c r="I259" s="1">
        <v>1</v>
      </c>
      <c r="J259" s="1">
        <v>1</v>
      </c>
      <c r="K259" s="1">
        <v>0.14000000000000001</v>
      </c>
    </row>
    <row r="260" spans="1:11" x14ac:dyDescent="0.3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>
        <v>0</v>
      </c>
      <c r="H260" s="1">
        <v>3</v>
      </c>
      <c r="I260" s="1">
        <v>1</v>
      </c>
      <c r="J260" s="1">
        <v>1</v>
      </c>
      <c r="K260" s="1">
        <v>0.14000000000000001</v>
      </c>
    </row>
    <row r="261" spans="1:11" x14ac:dyDescent="0.3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>
        <v>0</v>
      </c>
      <c r="H261" s="1">
        <v>3</v>
      </c>
      <c r="I261" s="1">
        <v>1</v>
      </c>
      <c r="J261" s="1">
        <v>1</v>
      </c>
      <c r="K261" s="1">
        <v>0.12</v>
      </c>
    </row>
    <row r="262" spans="1:11" x14ac:dyDescent="0.3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>
        <v>0</v>
      </c>
      <c r="H262" s="1">
        <v>3</v>
      </c>
      <c r="I262" s="1">
        <v>1</v>
      </c>
      <c r="J262" s="1">
        <v>1</v>
      </c>
      <c r="K262" s="1">
        <v>0.14000000000000001</v>
      </c>
    </row>
    <row r="263" spans="1:11" x14ac:dyDescent="0.3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>
        <v>0</v>
      </c>
      <c r="H263" s="1">
        <v>3</v>
      </c>
      <c r="I263" s="1">
        <v>1</v>
      </c>
      <c r="J263" s="1">
        <v>1</v>
      </c>
      <c r="K263" s="1">
        <v>0.16</v>
      </c>
    </row>
    <row r="264" spans="1:11" x14ac:dyDescent="0.3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>
        <v>0</v>
      </c>
      <c r="H264" s="1">
        <v>3</v>
      </c>
      <c r="I264" s="1">
        <v>1</v>
      </c>
      <c r="J264" s="1">
        <v>1</v>
      </c>
      <c r="K264" s="1">
        <v>0.16</v>
      </c>
    </row>
    <row r="265" spans="1:11" x14ac:dyDescent="0.3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>
        <v>0</v>
      </c>
      <c r="H265" s="1">
        <v>3</v>
      </c>
      <c r="I265" s="1">
        <v>1</v>
      </c>
      <c r="J265" s="1">
        <v>1</v>
      </c>
      <c r="K265" s="1">
        <v>0.18</v>
      </c>
    </row>
    <row r="266" spans="1:11" x14ac:dyDescent="0.3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>
        <v>0</v>
      </c>
      <c r="H266" s="1">
        <v>3</v>
      </c>
      <c r="I266" s="1">
        <v>1</v>
      </c>
      <c r="J266" s="1">
        <v>1</v>
      </c>
      <c r="K266" s="1">
        <v>0.2</v>
      </c>
    </row>
    <row r="267" spans="1:11" x14ac:dyDescent="0.3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>
        <v>0</v>
      </c>
      <c r="H267" s="1">
        <v>3</v>
      </c>
      <c r="I267" s="1">
        <v>1</v>
      </c>
      <c r="J267" s="1">
        <v>1</v>
      </c>
      <c r="K267" s="1">
        <v>0.2</v>
      </c>
    </row>
    <row r="268" spans="1:11" x14ac:dyDescent="0.3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>
        <v>0</v>
      </c>
      <c r="H268" s="1">
        <v>3</v>
      </c>
      <c r="I268" s="1">
        <v>1</v>
      </c>
      <c r="J268" s="1">
        <v>1</v>
      </c>
      <c r="K268" s="1">
        <v>0.22</v>
      </c>
    </row>
    <row r="269" spans="1:11" x14ac:dyDescent="0.3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>
        <v>0</v>
      </c>
      <c r="H269" s="1">
        <v>3</v>
      </c>
      <c r="I269" s="1">
        <v>1</v>
      </c>
      <c r="J269" s="1">
        <v>1</v>
      </c>
      <c r="K269" s="1">
        <v>0.2</v>
      </c>
    </row>
    <row r="270" spans="1:11" x14ac:dyDescent="0.3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>
        <v>0</v>
      </c>
      <c r="H270" s="1">
        <v>3</v>
      </c>
      <c r="I270" s="1">
        <v>1</v>
      </c>
      <c r="J270" s="1">
        <v>1</v>
      </c>
      <c r="K270" s="1">
        <v>0.2</v>
      </c>
    </row>
    <row r="271" spans="1:11" x14ac:dyDescent="0.3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>
        <v>0</v>
      </c>
      <c r="H271" s="1">
        <v>3</v>
      </c>
      <c r="I271" s="1">
        <v>1</v>
      </c>
      <c r="J271" s="1">
        <v>1</v>
      </c>
      <c r="K271" s="1">
        <v>0.22</v>
      </c>
    </row>
    <row r="272" spans="1:11" x14ac:dyDescent="0.3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>
        <v>0</v>
      </c>
      <c r="H272" s="1">
        <v>3</v>
      </c>
      <c r="I272" s="1">
        <v>1</v>
      </c>
      <c r="J272" s="1">
        <v>1</v>
      </c>
      <c r="K272" s="1">
        <v>0.2</v>
      </c>
    </row>
    <row r="273" spans="1:11" x14ac:dyDescent="0.3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>
        <v>0</v>
      </c>
      <c r="H273" s="1">
        <v>3</v>
      </c>
      <c r="I273" s="1">
        <v>1</v>
      </c>
      <c r="J273" s="1">
        <v>1</v>
      </c>
      <c r="K273" s="1">
        <v>0.2</v>
      </c>
    </row>
    <row r="274" spans="1:11" x14ac:dyDescent="0.3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>
        <v>0</v>
      </c>
      <c r="H274" s="1">
        <v>3</v>
      </c>
      <c r="I274" s="1">
        <v>1</v>
      </c>
      <c r="J274" s="1">
        <v>1</v>
      </c>
      <c r="K274" s="1">
        <v>0.18</v>
      </c>
    </row>
    <row r="275" spans="1:11" x14ac:dyDescent="0.3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>
        <v>0</v>
      </c>
      <c r="H275" s="1">
        <v>3</v>
      </c>
      <c r="I275" s="1">
        <v>1</v>
      </c>
      <c r="J275" s="1">
        <v>1</v>
      </c>
      <c r="K275" s="1">
        <v>0.16</v>
      </c>
    </row>
    <row r="276" spans="1:11" x14ac:dyDescent="0.3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>
        <v>0</v>
      </c>
      <c r="H276" s="1">
        <v>3</v>
      </c>
      <c r="I276" s="1">
        <v>1</v>
      </c>
      <c r="J276" s="1">
        <v>1</v>
      </c>
      <c r="K276" s="1">
        <v>0.16</v>
      </c>
    </row>
    <row r="277" spans="1:11" x14ac:dyDescent="0.3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>
        <v>0</v>
      </c>
      <c r="H277" s="1">
        <v>3</v>
      </c>
      <c r="I277" s="1">
        <v>1</v>
      </c>
      <c r="J277" s="1">
        <v>1</v>
      </c>
      <c r="K277" s="1">
        <v>0.16</v>
      </c>
    </row>
    <row r="278" spans="1:11" x14ac:dyDescent="0.3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>
        <v>0</v>
      </c>
      <c r="H278" s="1">
        <v>3</v>
      </c>
      <c r="I278" s="1">
        <v>1</v>
      </c>
      <c r="J278" s="1">
        <v>1</v>
      </c>
      <c r="K278" s="1">
        <v>0.14000000000000001</v>
      </c>
    </row>
    <row r="279" spans="1:11" x14ac:dyDescent="0.3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>
        <v>0</v>
      </c>
      <c r="H279" s="1">
        <v>4</v>
      </c>
      <c r="I279" s="1">
        <v>1</v>
      </c>
      <c r="J279" s="1">
        <v>1</v>
      </c>
      <c r="K279" s="1">
        <v>0.14000000000000001</v>
      </c>
    </row>
    <row r="280" spans="1:11" x14ac:dyDescent="0.3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>
        <v>0</v>
      </c>
      <c r="H280" s="1">
        <v>4</v>
      </c>
      <c r="I280" s="1">
        <v>1</v>
      </c>
      <c r="J280" s="1">
        <v>1</v>
      </c>
      <c r="K280" s="1">
        <v>0.14000000000000001</v>
      </c>
    </row>
    <row r="281" spans="1:11" x14ac:dyDescent="0.3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>
        <v>0</v>
      </c>
      <c r="H281" s="1">
        <v>4</v>
      </c>
      <c r="I281" s="1">
        <v>1</v>
      </c>
      <c r="J281" s="1">
        <v>1</v>
      </c>
      <c r="K281" s="1">
        <v>0.14000000000000001</v>
      </c>
    </row>
    <row r="282" spans="1:11" x14ac:dyDescent="0.3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>
        <v>0</v>
      </c>
      <c r="H282" s="1">
        <v>4</v>
      </c>
      <c r="I282" s="1">
        <v>1</v>
      </c>
      <c r="J282" s="1">
        <v>1</v>
      </c>
      <c r="K282" s="1">
        <v>0.14000000000000001</v>
      </c>
    </row>
    <row r="283" spans="1:11" x14ac:dyDescent="0.3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>
        <v>0</v>
      </c>
      <c r="H283" s="1">
        <v>4</v>
      </c>
      <c r="I283" s="1">
        <v>1</v>
      </c>
      <c r="J283" s="1">
        <v>1</v>
      </c>
      <c r="K283" s="1">
        <v>0.14000000000000001</v>
      </c>
    </row>
    <row r="284" spans="1:11" x14ac:dyDescent="0.3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>
        <v>0</v>
      </c>
      <c r="H284" s="1">
        <v>4</v>
      </c>
      <c r="I284" s="1">
        <v>1</v>
      </c>
      <c r="J284" s="1">
        <v>1</v>
      </c>
      <c r="K284" s="1">
        <v>0.14000000000000001</v>
      </c>
    </row>
    <row r="285" spans="1:11" x14ac:dyDescent="0.3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>
        <v>0</v>
      </c>
      <c r="H285" s="1">
        <v>4</v>
      </c>
      <c r="I285" s="1">
        <v>1</v>
      </c>
      <c r="J285" s="1">
        <v>1</v>
      </c>
      <c r="K285" s="1">
        <v>0.12</v>
      </c>
    </row>
    <row r="286" spans="1:11" x14ac:dyDescent="0.3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>
        <v>0</v>
      </c>
      <c r="H286" s="1">
        <v>4</v>
      </c>
      <c r="I286" s="1">
        <v>1</v>
      </c>
      <c r="J286" s="1">
        <v>1</v>
      </c>
      <c r="K286" s="1">
        <v>0.12</v>
      </c>
    </row>
    <row r="287" spans="1:11" x14ac:dyDescent="0.3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>
        <v>0</v>
      </c>
      <c r="H287" s="1">
        <v>4</v>
      </c>
      <c r="I287" s="1">
        <v>1</v>
      </c>
      <c r="J287" s="1">
        <v>1</v>
      </c>
      <c r="K287" s="1">
        <v>0.14000000000000001</v>
      </c>
    </row>
    <row r="288" spans="1:11" x14ac:dyDescent="0.3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>
        <v>0</v>
      </c>
      <c r="H288" s="1">
        <v>4</v>
      </c>
      <c r="I288" s="1">
        <v>1</v>
      </c>
      <c r="J288" s="1">
        <v>1</v>
      </c>
      <c r="K288" s="1">
        <v>0.14000000000000001</v>
      </c>
    </row>
    <row r="289" spans="1:11" x14ac:dyDescent="0.3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>
        <v>0</v>
      </c>
      <c r="H289" s="1">
        <v>4</v>
      </c>
      <c r="I289" s="1">
        <v>1</v>
      </c>
      <c r="J289" s="1">
        <v>2</v>
      </c>
      <c r="K289" s="1">
        <v>0.16</v>
      </c>
    </row>
    <row r="290" spans="1:11" x14ac:dyDescent="0.3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>
        <v>0</v>
      </c>
      <c r="H290" s="1">
        <v>4</v>
      </c>
      <c r="I290" s="1">
        <v>1</v>
      </c>
      <c r="J290" s="1">
        <v>2</v>
      </c>
      <c r="K290" s="1">
        <v>0.2</v>
      </c>
    </row>
    <row r="291" spans="1:11" x14ac:dyDescent="0.3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>
        <v>0</v>
      </c>
      <c r="H291" s="1">
        <v>4</v>
      </c>
      <c r="I291" s="1">
        <v>1</v>
      </c>
      <c r="J291" s="1">
        <v>1</v>
      </c>
      <c r="K291" s="1">
        <v>0.2</v>
      </c>
    </row>
    <row r="292" spans="1:11" x14ac:dyDescent="0.3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>
        <v>0</v>
      </c>
      <c r="H292" s="1">
        <v>4</v>
      </c>
      <c r="I292" s="1">
        <v>1</v>
      </c>
      <c r="J292" s="1">
        <v>1</v>
      </c>
      <c r="K292" s="1">
        <v>0.22</v>
      </c>
    </row>
    <row r="293" spans="1:11" x14ac:dyDescent="0.3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>
        <v>0</v>
      </c>
      <c r="H293" s="1">
        <v>4</v>
      </c>
      <c r="I293" s="1">
        <v>1</v>
      </c>
      <c r="J293" s="1">
        <v>1</v>
      </c>
      <c r="K293" s="1">
        <v>0.22</v>
      </c>
    </row>
    <row r="294" spans="1:11" x14ac:dyDescent="0.3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>
        <v>0</v>
      </c>
      <c r="H294" s="1">
        <v>4</v>
      </c>
      <c r="I294" s="1">
        <v>1</v>
      </c>
      <c r="J294" s="1">
        <v>1</v>
      </c>
      <c r="K294" s="1">
        <v>0.24</v>
      </c>
    </row>
    <row r="295" spans="1:11" x14ac:dyDescent="0.3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>
        <v>0</v>
      </c>
      <c r="H295" s="1">
        <v>4</v>
      </c>
      <c r="I295" s="1">
        <v>1</v>
      </c>
      <c r="J295" s="1">
        <v>1</v>
      </c>
      <c r="K295" s="1">
        <v>0.24</v>
      </c>
    </row>
    <row r="296" spans="1:11" x14ac:dyDescent="0.3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>
        <v>0</v>
      </c>
      <c r="H296" s="1">
        <v>4</v>
      </c>
      <c r="I296" s="1">
        <v>1</v>
      </c>
      <c r="J296" s="1">
        <v>1</v>
      </c>
      <c r="K296" s="1">
        <v>0.2</v>
      </c>
    </row>
    <row r="297" spans="1:11" x14ac:dyDescent="0.3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>
        <v>0</v>
      </c>
      <c r="H297" s="1">
        <v>4</v>
      </c>
      <c r="I297" s="1">
        <v>1</v>
      </c>
      <c r="J297" s="1">
        <v>1</v>
      </c>
      <c r="K297" s="1">
        <v>0.2</v>
      </c>
    </row>
    <row r="298" spans="1:11" x14ac:dyDescent="0.3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>
        <v>0</v>
      </c>
      <c r="H298" s="1">
        <v>4</v>
      </c>
      <c r="I298" s="1">
        <v>1</v>
      </c>
      <c r="J298" s="1">
        <v>1</v>
      </c>
      <c r="K298" s="1">
        <v>0.16</v>
      </c>
    </row>
    <row r="299" spans="1:11" x14ac:dyDescent="0.3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>
        <v>0</v>
      </c>
      <c r="H299" s="1">
        <v>4</v>
      </c>
      <c r="I299" s="1">
        <v>1</v>
      </c>
      <c r="J299" s="1">
        <v>1</v>
      </c>
      <c r="K299" s="1">
        <v>0.16</v>
      </c>
    </row>
    <row r="300" spans="1:11" x14ac:dyDescent="0.3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>
        <v>0</v>
      </c>
      <c r="H300" s="1">
        <v>4</v>
      </c>
      <c r="I300" s="1">
        <v>1</v>
      </c>
      <c r="J300" s="1">
        <v>1</v>
      </c>
      <c r="K300" s="1">
        <v>0.14000000000000001</v>
      </c>
    </row>
    <row r="301" spans="1:11" x14ac:dyDescent="0.3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>
        <v>0</v>
      </c>
      <c r="H301" s="1">
        <v>4</v>
      </c>
      <c r="I301" s="1">
        <v>1</v>
      </c>
      <c r="J301" s="1">
        <v>1</v>
      </c>
      <c r="K301" s="1">
        <v>0.14000000000000001</v>
      </c>
    </row>
    <row r="302" spans="1:11" x14ac:dyDescent="0.3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>
        <v>0</v>
      </c>
      <c r="H302" s="1">
        <v>4</v>
      </c>
      <c r="I302" s="1">
        <v>1</v>
      </c>
      <c r="J302" s="1">
        <v>1</v>
      </c>
      <c r="K302" s="1">
        <v>0.12</v>
      </c>
    </row>
    <row r="303" spans="1:11" x14ac:dyDescent="0.3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>
        <v>0</v>
      </c>
      <c r="H303" s="1">
        <v>5</v>
      </c>
      <c r="I303" s="1">
        <v>1</v>
      </c>
      <c r="J303" s="1">
        <v>1</v>
      </c>
      <c r="K303" s="1">
        <v>0.12</v>
      </c>
    </row>
    <row r="304" spans="1:11" x14ac:dyDescent="0.3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>
        <v>0</v>
      </c>
      <c r="H304" s="1">
        <v>5</v>
      </c>
      <c r="I304" s="1">
        <v>1</v>
      </c>
      <c r="J304" s="1">
        <v>1</v>
      </c>
      <c r="K304" s="1">
        <v>0.1</v>
      </c>
    </row>
    <row r="305" spans="1:11" x14ac:dyDescent="0.3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>
        <v>0</v>
      </c>
      <c r="H305" s="1">
        <v>5</v>
      </c>
      <c r="I305" s="1">
        <v>1</v>
      </c>
      <c r="J305" s="1">
        <v>1</v>
      </c>
      <c r="K305" s="1">
        <v>0.1</v>
      </c>
    </row>
    <row r="306" spans="1:11" x14ac:dyDescent="0.3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>
        <v>0</v>
      </c>
      <c r="H306" s="1">
        <v>5</v>
      </c>
      <c r="I306" s="1">
        <v>1</v>
      </c>
      <c r="J306" s="1">
        <v>1</v>
      </c>
      <c r="K306" s="1">
        <v>0.1</v>
      </c>
    </row>
    <row r="307" spans="1:11" x14ac:dyDescent="0.3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>
        <v>0</v>
      </c>
      <c r="H307" s="1">
        <v>5</v>
      </c>
      <c r="I307" s="1">
        <v>1</v>
      </c>
      <c r="J307" s="1">
        <v>1</v>
      </c>
      <c r="K307" s="1">
        <v>0.1</v>
      </c>
    </row>
    <row r="308" spans="1:11" x14ac:dyDescent="0.3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>
        <v>0</v>
      </c>
      <c r="H308" s="1">
        <v>5</v>
      </c>
      <c r="I308" s="1">
        <v>1</v>
      </c>
      <c r="J308" s="1">
        <v>1</v>
      </c>
      <c r="K308" s="1">
        <v>0.1</v>
      </c>
    </row>
    <row r="309" spans="1:11" x14ac:dyDescent="0.3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>
        <v>0</v>
      </c>
      <c r="H309" s="1">
        <v>5</v>
      </c>
      <c r="I309" s="1">
        <v>1</v>
      </c>
      <c r="J309" s="1">
        <v>1</v>
      </c>
      <c r="K309" s="1">
        <v>0.1</v>
      </c>
    </row>
    <row r="310" spans="1:11" x14ac:dyDescent="0.3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>
        <v>0</v>
      </c>
      <c r="H310" s="1">
        <v>5</v>
      </c>
      <c r="I310" s="1">
        <v>1</v>
      </c>
      <c r="J310" s="1">
        <v>1</v>
      </c>
      <c r="K310" s="1">
        <v>0.12</v>
      </c>
    </row>
    <row r="311" spans="1:11" x14ac:dyDescent="0.3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>
        <v>0</v>
      </c>
      <c r="H311" s="1">
        <v>5</v>
      </c>
      <c r="I311" s="1">
        <v>1</v>
      </c>
      <c r="J311" s="1">
        <v>1</v>
      </c>
      <c r="K311" s="1">
        <v>0.14000000000000001</v>
      </c>
    </row>
    <row r="312" spans="1:11" x14ac:dyDescent="0.3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>
        <v>0</v>
      </c>
      <c r="H312" s="1">
        <v>5</v>
      </c>
      <c r="I312" s="1">
        <v>1</v>
      </c>
      <c r="J312" s="1">
        <v>1</v>
      </c>
      <c r="K312" s="1">
        <v>0.18</v>
      </c>
    </row>
    <row r="313" spans="1:11" x14ac:dyDescent="0.3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>
        <v>0</v>
      </c>
      <c r="H313" s="1">
        <v>5</v>
      </c>
      <c r="I313" s="1">
        <v>1</v>
      </c>
      <c r="J313" s="1">
        <v>1</v>
      </c>
      <c r="K313" s="1">
        <v>0.18</v>
      </c>
    </row>
    <row r="314" spans="1:11" x14ac:dyDescent="0.3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>
        <v>0</v>
      </c>
      <c r="H314" s="1">
        <v>5</v>
      </c>
      <c r="I314" s="1">
        <v>1</v>
      </c>
      <c r="J314" s="1">
        <v>1</v>
      </c>
      <c r="K314" s="1">
        <v>0.2</v>
      </c>
    </row>
    <row r="315" spans="1:11" x14ac:dyDescent="0.3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>
        <v>0</v>
      </c>
      <c r="H315" s="1">
        <v>5</v>
      </c>
      <c r="I315" s="1">
        <v>1</v>
      </c>
      <c r="J315" s="1">
        <v>1</v>
      </c>
      <c r="K315" s="1">
        <v>0.22</v>
      </c>
    </row>
    <row r="316" spans="1:11" x14ac:dyDescent="0.3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>
        <v>0</v>
      </c>
      <c r="H316" s="1">
        <v>5</v>
      </c>
      <c r="I316" s="1">
        <v>1</v>
      </c>
      <c r="J316" s="1">
        <v>1</v>
      </c>
      <c r="K316" s="1">
        <v>0.22</v>
      </c>
    </row>
    <row r="317" spans="1:11" x14ac:dyDescent="0.3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>
        <v>0</v>
      </c>
      <c r="H317" s="1">
        <v>5</v>
      </c>
      <c r="I317" s="1">
        <v>1</v>
      </c>
      <c r="J317" s="1">
        <v>1</v>
      </c>
      <c r="K317" s="1">
        <v>0.24</v>
      </c>
    </row>
    <row r="318" spans="1:11" x14ac:dyDescent="0.3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>
        <v>0</v>
      </c>
      <c r="H318" s="1">
        <v>5</v>
      </c>
      <c r="I318" s="1">
        <v>1</v>
      </c>
      <c r="J318" s="1">
        <v>1</v>
      </c>
      <c r="K318" s="1">
        <v>0.22</v>
      </c>
    </row>
    <row r="319" spans="1:11" x14ac:dyDescent="0.3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>
        <v>0</v>
      </c>
      <c r="H319" s="1">
        <v>5</v>
      </c>
      <c r="I319" s="1">
        <v>1</v>
      </c>
      <c r="J319" s="1">
        <v>1</v>
      </c>
      <c r="K319" s="1">
        <v>0.22</v>
      </c>
    </row>
    <row r="320" spans="1:11" x14ac:dyDescent="0.3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>
        <v>0</v>
      </c>
      <c r="H320" s="1">
        <v>5</v>
      </c>
      <c r="I320" s="1">
        <v>1</v>
      </c>
      <c r="J320" s="1">
        <v>1</v>
      </c>
      <c r="K320" s="1">
        <v>0.2</v>
      </c>
    </row>
    <row r="321" spans="1:11" x14ac:dyDescent="0.3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>
        <v>0</v>
      </c>
      <c r="H321" s="1">
        <v>5</v>
      </c>
      <c r="I321" s="1">
        <v>1</v>
      </c>
      <c r="J321" s="1">
        <v>1</v>
      </c>
      <c r="K321" s="1">
        <v>0.16</v>
      </c>
    </row>
    <row r="322" spans="1:11" x14ac:dyDescent="0.3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>
        <v>0</v>
      </c>
      <c r="H322" s="1">
        <v>5</v>
      </c>
      <c r="I322" s="1">
        <v>1</v>
      </c>
      <c r="J322" s="1">
        <v>1</v>
      </c>
      <c r="K322" s="1">
        <v>0.18</v>
      </c>
    </row>
    <row r="323" spans="1:11" x14ac:dyDescent="0.3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>
        <v>0</v>
      </c>
      <c r="H323" s="1">
        <v>5</v>
      </c>
      <c r="I323" s="1">
        <v>1</v>
      </c>
      <c r="J323" s="1">
        <v>1</v>
      </c>
      <c r="K323" s="1">
        <v>0.16</v>
      </c>
    </row>
    <row r="324" spans="1:11" x14ac:dyDescent="0.3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>
        <v>0</v>
      </c>
      <c r="H324" s="1">
        <v>5</v>
      </c>
      <c r="I324" s="1">
        <v>1</v>
      </c>
      <c r="J324" s="1">
        <v>2</v>
      </c>
      <c r="K324" s="1">
        <v>0.16</v>
      </c>
    </row>
    <row r="325" spans="1:11" x14ac:dyDescent="0.3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>
        <v>0</v>
      </c>
      <c r="H325" s="1">
        <v>5</v>
      </c>
      <c r="I325" s="1">
        <v>1</v>
      </c>
      <c r="J325" s="1">
        <v>2</v>
      </c>
      <c r="K325" s="1">
        <v>0.18</v>
      </c>
    </row>
    <row r="326" spans="1:11" x14ac:dyDescent="0.3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>
        <v>0</v>
      </c>
      <c r="H326" s="1">
        <v>6</v>
      </c>
      <c r="I326" s="1">
        <v>0</v>
      </c>
      <c r="J326" s="1">
        <v>1</v>
      </c>
      <c r="K326" s="1">
        <v>0.18</v>
      </c>
    </row>
    <row r="327" spans="1:11" x14ac:dyDescent="0.3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>
        <v>0</v>
      </c>
      <c r="H327" s="1">
        <v>6</v>
      </c>
      <c r="I327" s="1">
        <v>0</v>
      </c>
      <c r="J327" s="1">
        <v>2</v>
      </c>
      <c r="K327" s="1">
        <v>0.16</v>
      </c>
    </row>
    <row r="328" spans="1:11" x14ac:dyDescent="0.3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>
        <v>0</v>
      </c>
      <c r="H328" s="1">
        <v>6</v>
      </c>
      <c r="I328" s="1">
        <v>0</v>
      </c>
      <c r="J328" s="1">
        <v>2</v>
      </c>
      <c r="K328" s="1">
        <v>0.16</v>
      </c>
    </row>
    <row r="329" spans="1:11" x14ac:dyDescent="0.3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>
        <v>0</v>
      </c>
      <c r="H329" s="1">
        <v>6</v>
      </c>
      <c r="I329" s="1">
        <v>0</v>
      </c>
      <c r="J329" s="1">
        <v>2</v>
      </c>
      <c r="K329" s="1">
        <v>0.16</v>
      </c>
    </row>
    <row r="330" spans="1:11" x14ac:dyDescent="0.3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>
        <v>0</v>
      </c>
      <c r="H330" s="1">
        <v>6</v>
      </c>
      <c r="I330" s="1">
        <v>0</v>
      </c>
      <c r="J330" s="1">
        <v>2</v>
      </c>
      <c r="K330" s="1">
        <v>0.16</v>
      </c>
    </row>
    <row r="331" spans="1:11" x14ac:dyDescent="0.3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>
        <v>0</v>
      </c>
      <c r="H331" s="1">
        <v>6</v>
      </c>
      <c r="I331" s="1">
        <v>0</v>
      </c>
      <c r="J331" s="1">
        <v>1</v>
      </c>
      <c r="K331" s="1">
        <v>0.16</v>
      </c>
    </row>
    <row r="332" spans="1:11" x14ac:dyDescent="0.3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>
        <v>0</v>
      </c>
      <c r="H332" s="1">
        <v>6</v>
      </c>
      <c r="I332" s="1">
        <v>0</v>
      </c>
      <c r="J332" s="1">
        <v>1</v>
      </c>
      <c r="K332" s="1">
        <v>0.14000000000000001</v>
      </c>
    </row>
    <row r="333" spans="1:11" x14ac:dyDescent="0.3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>
        <v>0</v>
      </c>
      <c r="H333" s="1">
        <v>6</v>
      </c>
      <c r="I333" s="1">
        <v>0</v>
      </c>
      <c r="J333" s="1">
        <v>1</v>
      </c>
      <c r="K333" s="1">
        <v>0.14000000000000001</v>
      </c>
    </row>
    <row r="334" spans="1:11" x14ac:dyDescent="0.3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>
        <v>0</v>
      </c>
      <c r="H334" s="1">
        <v>6</v>
      </c>
      <c r="I334" s="1">
        <v>0</v>
      </c>
      <c r="J334" s="1">
        <v>1</v>
      </c>
      <c r="K334" s="1">
        <v>0.14000000000000001</v>
      </c>
    </row>
    <row r="335" spans="1:11" x14ac:dyDescent="0.3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>
        <v>0</v>
      </c>
      <c r="H335" s="1">
        <v>6</v>
      </c>
      <c r="I335" s="1">
        <v>0</v>
      </c>
      <c r="J335" s="1">
        <v>1</v>
      </c>
      <c r="K335" s="1">
        <v>0.16</v>
      </c>
    </row>
    <row r="336" spans="1:11" x14ac:dyDescent="0.3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>
        <v>0</v>
      </c>
      <c r="H336" s="1">
        <v>6</v>
      </c>
      <c r="I336" s="1">
        <v>0</v>
      </c>
      <c r="J336" s="1">
        <v>1</v>
      </c>
      <c r="K336" s="1">
        <v>0.18</v>
      </c>
    </row>
    <row r="337" spans="1:11" x14ac:dyDescent="0.3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>
        <v>0</v>
      </c>
      <c r="H337" s="1">
        <v>6</v>
      </c>
      <c r="I337" s="1">
        <v>0</v>
      </c>
      <c r="J337" s="1">
        <v>1</v>
      </c>
      <c r="K337" s="1">
        <v>0.2</v>
      </c>
    </row>
    <row r="338" spans="1:11" x14ac:dyDescent="0.3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>
        <v>0</v>
      </c>
      <c r="H338" s="1">
        <v>6</v>
      </c>
      <c r="I338" s="1">
        <v>0</v>
      </c>
      <c r="J338" s="1">
        <v>1</v>
      </c>
      <c r="K338" s="1">
        <v>0.24</v>
      </c>
    </row>
    <row r="339" spans="1:11" x14ac:dyDescent="0.3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>
        <v>0</v>
      </c>
      <c r="H339" s="1">
        <v>6</v>
      </c>
      <c r="I339" s="1">
        <v>0</v>
      </c>
      <c r="J339" s="1">
        <v>1</v>
      </c>
      <c r="K339" s="1">
        <v>0.28000000000000003</v>
      </c>
    </row>
    <row r="340" spans="1:11" x14ac:dyDescent="0.3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>
        <v>0</v>
      </c>
      <c r="H340" s="1">
        <v>6</v>
      </c>
      <c r="I340" s="1">
        <v>0</v>
      </c>
      <c r="J340" s="1">
        <v>1</v>
      </c>
      <c r="K340" s="1">
        <v>0.3</v>
      </c>
    </row>
    <row r="341" spans="1:11" x14ac:dyDescent="0.3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>
        <v>0</v>
      </c>
      <c r="H341" s="1">
        <v>6</v>
      </c>
      <c r="I341" s="1">
        <v>0</v>
      </c>
      <c r="J341" s="1">
        <v>2</v>
      </c>
      <c r="K341" s="1">
        <v>0.32</v>
      </c>
    </row>
    <row r="342" spans="1:11" x14ac:dyDescent="0.3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>
        <v>0</v>
      </c>
      <c r="H342" s="1">
        <v>6</v>
      </c>
      <c r="I342" s="1">
        <v>0</v>
      </c>
      <c r="J342" s="1">
        <v>2</v>
      </c>
      <c r="K342" s="1">
        <v>0.34</v>
      </c>
    </row>
    <row r="343" spans="1:11" x14ac:dyDescent="0.3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>
        <v>0</v>
      </c>
      <c r="H343" s="1">
        <v>6</v>
      </c>
      <c r="I343" s="1">
        <v>0</v>
      </c>
      <c r="J343" s="1">
        <v>2</v>
      </c>
      <c r="K343" s="1">
        <v>0.32</v>
      </c>
    </row>
    <row r="344" spans="1:11" x14ac:dyDescent="0.3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>
        <v>0</v>
      </c>
      <c r="H344" s="1">
        <v>6</v>
      </c>
      <c r="I344" s="1">
        <v>0</v>
      </c>
      <c r="J344" s="1">
        <v>2</v>
      </c>
      <c r="K344" s="1">
        <v>0.3</v>
      </c>
    </row>
    <row r="345" spans="1:11" x14ac:dyDescent="0.3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>
        <v>0</v>
      </c>
      <c r="H345" s="1">
        <v>6</v>
      </c>
      <c r="I345" s="1">
        <v>0</v>
      </c>
      <c r="J345" s="1">
        <v>2</v>
      </c>
      <c r="K345" s="1">
        <v>0.32</v>
      </c>
    </row>
    <row r="346" spans="1:11" x14ac:dyDescent="0.3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>
        <v>0</v>
      </c>
      <c r="H346" s="1">
        <v>6</v>
      </c>
      <c r="I346" s="1">
        <v>0</v>
      </c>
      <c r="J346" s="1">
        <v>2</v>
      </c>
      <c r="K346" s="1">
        <v>0.32</v>
      </c>
    </row>
    <row r="347" spans="1:11" x14ac:dyDescent="0.3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>
        <v>0</v>
      </c>
      <c r="H347" s="1">
        <v>6</v>
      </c>
      <c r="I347" s="1">
        <v>0</v>
      </c>
      <c r="J347" s="1">
        <v>2</v>
      </c>
      <c r="K347" s="1">
        <v>0.32</v>
      </c>
    </row>
    <row r="348" spans="1:11" x14ac:dyDescent="0.3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>
        <v>0</v>
      </c>
      <c r="H348" s="1">
        <v>6</v>
      </c>
      <c r="I348" s="1">
        <v>0</v>
      </c>
      <c r="J348" s="1">
        <v>2</v>
      </c>
      <c r="K348" s="1">
        <v>0.3</v>
      </c>
    </row>
    <row r="349" spans="1:11" x14ac:dyDescent="0.3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>
        <v>0</v>
      </c>
      <c r="H349" s="1">
        <v>6</v>
      </c>
      <c r="I349" s="1">
        <v>0</v>
      </c>
      <c r="J349" s="1">
        <v>1</v>
      </c>
      <c r="K349" s="1">
        <v>0.3</v>
      </c>
    </row>
    <row r="350" spans="1:11" x14ac:dyDescent="0.3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0.26</v>
      </c>
    </row>
    <row r="351" spans="1:11" x14ac:dyDescent="0.3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>
        <v>0</v>
      </c>
      <c r="H351" s="1">
        <v>0</v>
      </c>
      <c r="I351" s="1">
        <v>0</v>
      </c>
      <c r="J351" s="1">
        <v>1</v>
      </c>
      <c r="K351" s="1">
        <v>0.26</v>
      </c>
    </row>
    <row r="352" spans="1:11" x14ac:dyDescent="0.3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>
        <v>0</v>
      </c>
      <c r="H352" s="1">
        <v>0</v>
      </c>
      <c r="I352" s="1">
        <v>0</v>
      </c>
      <c r="J352" s="1">
        <v>1</v>
      </c>
      <c r="K352" s="1">
        <v>0.26</v>
      </c>
    </row>
    <row r="353" spans="1:11" x14ac:dyDescent="0.3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>
        <v>0</v>
      </c>
      <c r="H353" s="1">
        <v>0</v>
      </c>
      <c r="I353" s="1">
        <v>0</v>
      </c>
      <c r="J353" s="1">
        <v>1</v>
      </c>
      <c r="K353" s="1">
        <v>0.22</v>
      </c>
    </row>
    <row r="354" spans="1:11" x14ac:dyDescent="0.3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>
        <v>0</v>
      </c>
      <c r="H354" s="1">
        <v>0</v>
      </c>
      <c r="I354" s="1">
        <v>0</v>
      </c>
      <c r="J354" s="1">
        <v>1</v>
      </c>
      <c r="K354" s="1">
        <v>0.26</v>
      </c>
    </row>
    <row r="355" spans="1:11" x14ac:dyDescent="0.3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>
        <v>0</v>
      </c>
      <c r="H355" s="1">
        <v>0</v>
      </c>
      <c r="I355" s="1">
        <v>0</v>
      </c>
      <c r="J355" s="1">
        <v>2</v>
      </c>
      <c r="K355" s="1">
        <v>0.26</v>
      </c>
    </row>
    <row r="356" spans="1:11" x14ac:dyDescent="0.3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>
        <v>0</v>
      </c>
      <c r="H356" s="1">
        <v>0</v>
      </c>
      <c r="I356" s="1">
        <v>0</v>
      </c>
      <c r="J356" s="1">
        <v>2</v>
      </c>
      <c r="K356" s="1">
        <v>0.26</v>
      </c>
    </row>
    <row r="357" spans="1:11" x14ac:dyDescent="0.3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>
        <v>0</v>
      </c>
      <c r="H357" s="1">
        <v>0</v>
      </c>
      <c r="I357" s="1">
        <v>0</v>
      </c>
      <c r="J357" s="1">
        <v>2</v>
      </c>
      <c r="K357" s="1">
        <v>0.24</v>
      </c>
    </row>
    <row r="358" spans="1:11" x14ac:dyDescent="0.3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>
        <v>0</v>
      </c>
      <c r="H358" s="1">
        <v>0</v>
      </c>
      <c r="I358" s="1">
        <v>0</v>
      </c>
      <c r="J358" s="1">
        <v>1</v>
      </c>
      <c r="K358" s="1">
        <v>0.22</v>
      </c>
    </row>
    <row r="359" spans="1:11" x14ac:dyDescent="0.3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>
        <v>0</v>
      </c>
      <c r="H359" s="1">
        <v>0</v>
      </c>
      <c r="I359" s="1">
        <v>0</v>
      </c>
      <c r="J359" s="1">
        <v>1</v>
      </c>
      <c r="K359" s="1">
        <v>0.22</v>
      </c>
    </row>
    <row r="360" spans="1:11" x14ac:dyDescent="0.3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>
        <v>0</v>
      </c>
      <c r="H360" s="1">
        <v>0</v>
      </c>
      <c r="I360" s="1">
        <v>0</v>
      </c>
      <c r="J360" s="1">
        <v>1</v>
      </c>
      <c r="K360" s="1">
        <v>0.22</v>
      </c>
    </row>
    <row r="361" spans="1:11" x14ac:dyDescent="0.3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>
        <v>0</v>
      </c>
      <c r="H361" s="1">
        <v>0</v>
      </c>
      <c r="I361" s="1">
        <v>0</v>
      </c>
      <c r="J361" s="1">
        <v>1</v>
      </c>
      <c r="K361" s="1">
        <v>0.24</v>
      </c>
    </row>
    <row r="362" spans="1:11" x14ac:dyDescent="0.3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>
        <v>0</v>
      </c>
      <c r="H362" s="1">
        <v>0</v>
      </c>
      <c r="I362" s="1">
        <v>0</v>
      </c>
      <c r="J362" s="1">
        <v>1</v>
      </c>
      <c r="K362" s="1">
        <v>0.24</v>
      </c>
    </row>
    <row r="363" spans="1:11" x14ac:dyDescent="0.3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>
        <v>0</v>
      </c>
      <c r="H363" s="1">
        <v>0</v>
      </c>
      <c r="I363" s="1">
        <v>0</v>
      </c>
      <c r="J363" s="1">
        <v>1</v>
      </c>
      <c r="K363" s="1">
        <v>0.26</v>
      </c>
    </row>
    <row r="364" spans="1:11" x14ac:dyDescent="0.3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>
        <v>0</v>
      </c>
      <c r="H364" s="1">
        <v>0</v>
      </c>
      <c r="I364" s="1">
        <v>0</v>
      </c>
      <c r="J364" s="1">
        <v>1</v>
      </c>
      <c r="K364" s="1">
        <v>0.28000000000000003</v>
      </c>
    </row>
    <row r="365" spans="1:11" x14ac:dyDescent="0.3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>
        <v>0</v>
      </c>
      <c r="H365" s="1">
        <v>0</v>
      </c>
      <c r="I365" s="1">
        <v>0</v>
      </c>
      <c r="J365" s="1">
        <v>1</v>
      </c>
      <c r="K365" s="1">
        <v>0.26</v>
      </c>
    </row>
    <row r="366" spans="1:11" x14ac:dyDescent="0.3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>
        <v>0</v>
      </c>
      <c r="H366" s="1">
        <v>0</v>
      </c>
      <c r="I366" s="1">
        <v>0</v>
      </c>
      <c r="J366" s="1">
        <v>1</v>
      </c>
      <c r="K366" s="1">
        <v>0.24</v>
      </c>
    </row>
    <row r="367" spans="1:11" x14ac:dyDescent="0.3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>
        <v>0</v>
      </c>
      <c r="H367" s="1">
        <v>0</v>
      </c>
      <c r="I367" s="1">
        <v>0</v>
      </c>
      <c r="J367" s="1">
        <v>1</v>
      </c>
      <c r="K367" s="1">
        <v>0.22</v>
      </c>
    </row>
    <row r="368" spans="1:11" x14ac:dyDescent="0.3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>
        <v>0</v>
      </c>
      <c r="H368" s="1">
        <v>0</v>
      </c>
      <c r="I368" s="1">
        <v>0</v>
      </c>
      <c r="J368" s="1">
        <v>1</v>
      </c>
      <c r="K368" s="1">
        <v>0.2</v>
      </c>
    </row>
    <row r="369" spans="1:11" x14ac:dyDescent="0.3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>
        <v>0</v>
      </c>
      <c r="H369" s="1">
        <v>0</v>
      </c>
      <c r="I369" s="1">
        <v>0</v>
      </c>
      <c r="J369" s="1">
        <v>1</v>
      </c>
      <c r="K369" s="1">
        <v>0.18</v>
      </c>
    </row>
    <row r="370" spans="1:11" x14ac:dyDescent="0.3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>
        <v>0</v>
      </c>
      <c r="H370" s="1">
        <v>0</v>
      </c>
      <c r="I370" s="1">
        <v>0</v>
      </c>
      <c r="J370" s="1">
        <v>1</v>
      </c>
      <c r="K370" s="1">
        <v>0.18</v>
      </c>
    </row>
    <row r="371" spans="1:11" x14ac:dyDescent="0.3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>
        <v>0</v>
      </c>
      <c r="H371" s="1">
        <v>0</v>
      </c>
      <c r="I371" s="1">
        <v>0</v>
      </c>
      <c r="J371" s="1">
        <v>1</v>
      </c>
      <c r="K371" s="1">
        <v>0.18</v>
      </c>
    </row>
    <row r="372" spans="1:11" x14ac:dyDescent="0.3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>
        <v>0</v>
      </c>
      <c r="H372" s="1">
        <v>0</v>
      </c>
      <c r="I372" s="1">
        <v>0</v>
      </c>
      <c r="J372" s="1">
        <v>2</v>
      </c>
      <c r="K372" s="1">
        <v>0.2</v>
      </c>
    </row>
    <row r="373" spans="1:11" x14ac:dyDescent="0.3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>
        <v>0</v>
      </c>
      <c r="H373" s="1">
        <v>0</v>
      </c>
      <c r="I373" s="1">
        <v>0</v>
      </c>
      <c r="J373" s="1">
        <v>2</v>
      </c>
      <c r="K373" s="1">
        <v>0.2</v>
      </c>
    </row>
    <row r="374" spans="1:11" x14ac:dyDescent="0.3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>
        <v>1</v>
      </c>
      <c r="H374" s="1">
        <v>1</v>
      </c>
      <c r="I374" s="1">
        <v>0</v>
      </c>
      <c r="J374" s="1">
        <v>2</v>
      </c>
      <c r="K374" s="1">
        <v>0.2</v>
      </c>
    </row>
    <row r="375" spans="1:11" x14ac:dyDescent="0.3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>
        <v>1</v>
      </c>
      <c r="H375" s="1">
        <v>1</v>
      </c>
      <c r="I375" s="1">
        <v>0</v>
      </c>
      <c r="J375" s="1">
        <v>2</v>
      </c>
      <c r="K375" s="1">
        <v>0.2</v>
      </c>
    </row>
    <row r="376" spans="1:11" x14ac:dyDescent="0.3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>
        <v>1</v>
      </c>
      <c r="H376" s="1">
        <v>1</v>
      </c>
      <c r="I376" s="1">
        <v>0</v>
      </c>
      <c r="J376" s="1">
        <v>2</v>
      </c>
      <c r="K376" s="1">
        <v>0.18</v>
      </c>
    </row>
    <row r="377" spans="1:11" x14ac:dyDescent="0.3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>
        <v>1</v>
      </c>
      <c r="H377" s="1">
        <v>1</v>
      </c>
      <c r="I377" s="1">
        <v>0</v>
      </c>
      <c r="J377" s="1">
        <v>2</v>
      </c>
      <c r="K377" s="1">
        <v>0.18</v>
      </c>
    </row>
    <row r="378" spans="1:11" x14ac:dyDescent="0.3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>
        <v>1</v>
      </c>
      <c r="H378" s="1">
        <v>1</v>
      </c>
      <c r="I378" s="1">
        <v>0</v>
      </c>
      <c r="J378" s="1">
        <v>2</v>
      </c>
      <c r="K378" s="1">
        <v>0.18</v>
      </c>
    </row>
    <row r="379" spans="1:11" x14ac:dyDescent="0.3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>
        <v>1</v>
      </c>
      <c r="H379" s="1">
        <v>1</v>
      </c>
      <c r="I379" s="1">
        <v>0</v>
      </c>
      <c r="J379" s="1">
        <v>2</v>
      </c>
      <c r="K379" s="1">
        <v>0.18</v>
      </c>
    </row>
    <row r="380" spans="1:11" x14ac:dyDescent="0.3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>
        <v>1</v>
      </c>
      <c r="H380" s="1">
        <v>1</v>
      </c>
      <c r="I380" s="1">
        <v>0</v>
      </c>
      <c r="J380" s="1">
        <v>2</v>
      </c>
      <c r="K380" s="1">
        <v>0.18</v>
      </c>
    </row>
    <row r="381" spans="1:11" x14ac:dyDescent="0.3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>
        <v>1</v>
      </c>
      <c r="H381" s="1">
        <v>1</v>
      </c>
      <c r="I381" s="1">
        <v>0</v>
      </c>
      <c r="J381" s="1">
        <v>2</v>
      </c>
      <c r="K381" s="1">
        <v>0.16</v>
      </c>
    </row>
    <row r="382" spans="1:11" x14ac:dyDescent="0.3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>
        <v>1</v>
      </c>
      <c r="H382" s="1">
        <v>1</v>
      </c>
      <c r="I382" s="1">
        <v>0</v>
      </c>
      <c r="J382" s="1">
        <v>2</v>
      </c>
      <c r="K382" s="1">
        <v>0.16</v>
      </c>
    </row>
    <row r="383" spans="1:11" x14ac:dyDescent="0.3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>
        <v>1</v>
      </c>
      <c r="H383" s="1">
        <v>1</v>
      </c>
      <c r="I383" s="1">
        <v>0</v>
      </c>
      <c r="J383" s="1">
        <v>2</v>
      </c>
      <c r="K383" s="1">
        <v>0.16</v>
      </c>
    </row>
    <row r="384" spans="1:11" x14ac:dyDescent="0.3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>
        <v>1</v>
      </c>
      <c r="H384" s="1">
        <v>1</v>
      </c>
      <c r="I384" s="1">
        <v>0</v>
      </c>
      <c r="J384" s="1">
        <v>2</v>
      </c>
      <c r="K384" s="1">
        <v>0.16</v>
      </c>
    </row>
    <row r="385" spans="1:11" x14ac:dyDescent="0.3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>
        <v>1</v>
      </c>
      <c r="H385" s="1">
        <v>1</v>
      </c>
      <c r="I385" s="1">
        <v>0</v>
      </c>
      <c r="J385" s="1">
        <v>2</v>
      </c>
      <c r="K385" s="1">
        <v>0.16</v>
      </c>
    </row>
    <row r="386" spans="1:11" x14ac:dyDescent="0.3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>
        <v>1</v>
      </c>
      <c r="H386" s="1">
        <v>1</v>
      </c>
      <c r="I386" s="1">
        <v>0</v>
      </c>
      <c r="J386" s="1">
        <v>2</v>
      </c>
      <c r="K386" s="1">
        <v>0.18</v>
      </c>
    </row>
    <row r="387" spans="1:11" x14ac:dyDescent="0.3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>
        <v>1</v>
      </c>
      <c r="H387" s="1">
        <v>1</v>
      </c>
      <c r="I387" s="1">
        <v>0</v>
      </c>
      <c r="J387" s="1">
        <v>2</v>
      </c>
      <c r="K387" s="1">
        <v>0.18</v>
      </c>
    </row>
    <row r="388" spans="1:11" x14ac:dyDescent="0.3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>
        <v>1</v>
      </c>
      <c r="H388" s="1">
        <v>1</v>
      </c>
      <c r="I388" s="1">
        <v>0</v>
      </c>
      <c r="J388" s="1">
        <v>2</v>
      </c>
      <c r="K388" s="1">
        <v>0.18</v>
      </c>
    </row>
    <row r="389" spans="1:11" x14ac:dyDescent="0.3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>
        <v>1</v>
      </c>
      <c r="H389" s="1">
        <v>1</v>
      </c>
      <c r="I389" s="1">
        <v>0</v>
      </c>
      <c r="J389" s="1">
        <v>2</v>
      </c>
      <c r="K389" s="1">
        <v>0.2</v>
      </c>
    </row>
    <row r="390" spans="1:11" x14ac:dyDescent="0.3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>
        <v>1</v>
      </c>
      <c r="H390" s="1">
        <v>1</v>
      </c>
      <c r="I390" s="1">
        <v>0</v>
      </c>
      <c r="J390" s="1">
        <v>2</v>
      </c>
      <c r="K390" s="1">
        <v>0.2</v>
      </c>
    </row>
    <row r="391" spans="1:11" x14ac:dyDescent="0.3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>
        <v>1</v>
      </c>
      <c r="H391" s="1">
        <v>1</v>
      </c>
      <c r="I391" s="1">
        <v>0</v>
      </c>
      <c r="J391" s="1">
        <v>1</v>
      </c>
      <c r="K391" s="1">
        <v>0.2</v>
      </c>
    </row>
    <row r="392" spans="1:11" x14ac:dyDescent="0.3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>
        <v>1</v>
      </c>
      <c r="H392" s="1">
        <v>1</v>
      </c>
      <c r="I392" s="1">
        <v>0</v>
      </c>
      <c r="J392" s="1">
        <v>2</v>
      </c>
      <c r="K392" s="1">
        <v>0.18</v>
      </c>
    </row>
    <row r="393" spans="1:11" x14ac:dyDescent="0.3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>
        <v>1</v>
      </c>
      <c r="H393" s="1">
        <v>1</v>
      </c>
      <c r="I393" s="1">
        <v>0</v>
      </c>
      <c r="J393" s="1">
        <v>3</v>
      </c>
      <c r="K393" s="1">
        <v>0.18</v>
      </c>
    </row>
    <row r="394" spans="1:11" x14ac:dyDescent="0.3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>
        <v>1</v>
      </c>
      <c r="H394" s="1">
        <v>1</v>
      </c>
      <c r="I394" s="1">
        <v>0</v>
      </c>
      <c r="J394" s="1">
        <v>3</v>
      </c>
      <c r="K394" s="1">
        <v>0.16</v>
      </c>
    </row>
    <row r="395" spans="1:11" x14ac:dyDescent="0.3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>
        <v>1</v>
      </c>
      <c r="H395" s="1">
        <v>1</v>
      </c>
      <c r="I395" s="1">
        <v>0</v>
      </c>
      <c r="J395" s="1">
        <v>3</v>
      </c>
      <c r="K395" s="1">
        <v>0.16</v>
      </c>
    </row>
    <row r="396" spans="1:11" x14ac:dyDescent="0.3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>
        <v>1</v>
      </c>
      <c r="H396" s="1">
        <v>1</v>
      </c>
      <c r="I396" s="1">
        <v>0</v>
      </c>
      <c r="J396" s="1">
        <v>3</v>
      </c>
      <c r="K396" s="1">
        <v>0.14000000000000001</v>
      </c>
    </row>
    <row r="397" spans="1:11" x14ac:dyDescent="0.3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>
        <v>1</v>
      </c>
      <c r="H397" s="1">
        <v>1</v>
      </c>
      <c r="I397" s="1">
        <v>0</v>
      </c>
      <c r="J397" s="1">
        <v>3</v>
      </c>
      <c r="K397" s="1">
        <v>0.16</v>
      </c>
    </row>
    <row r="398" spans="1:11" x14ac:dyDescent="0.3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>
        <v>0</v>
      </c>
      <c r="H398" s="1">
        <v>2</v>
      </c>
      <c r="I398" s="1">
        <v>1</v>
      </c>
      <c r="J398" s="1">
        <v>2</v>
      </c>
      <c r="K398" s="1">
        <v>0.2</v>
      </c>
    </row>
    <row r="399" spans="1:11" x14ac:dyDescent="0.3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>
        <v>0</v>
      </c>
      <c r="H399" s="1">
        <v>2</v>
      </c>
      <c r="I399" s="1">
        <v>1</v>
      </c>
      <c r="J399" s="1">
        <v>2</v>
      </c>
      <c r="K399" s="1">
        <v>0.2</v>
      </c>
    </row>
    <row r="400" spans="1:11" x14ac:dyDescent="0.3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>
        <v>0</v>
      </c>
      <c r="H400" s="1">
        <v>2</v>
      </c>
      <c r="I400" s="1">
        <v>1</v>
      </c>
      <c r="J400" s="1">
        <v>2</v>
      </c>
      <c r="K400" s="1">
        <v>0.22</v>
      </c>
    </row>
    <row r="401" spans="1:11" x14ac:dyDescent="0.3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>
        <v>0</v>
      </c>
      <c r="H401" s="1">
        <v>2</v>
      </c>
      <c r="I401" s="1">
        <v>1</v>
      </c>
      <c r="J401" s="1">
        <v>2</v>
      </c>
      <c r="K401" s="1">
        <v>0.22</v>
      </c>
    </row>
    <row r="402" spans="1:11" x14ac:dyDescent="0.3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>
        <v>0</v>
      </c>
      <c r="H402" s="1">
        <v>2</v>
      </c>
      <c r="I402" s="1">
        <v>1</v>
      </c>
      <c r="J402" s="1">
        <v>2</v>
      </c>
      <c r="K402" s="1">
        <v>0.22</v>
      </c>
    </row>
    <row r="403" spans="1:11" x14ac:dyDescent="0.3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>
        <v>0</v>
      </c>
      <c r="H403" s="1">
        <v>2</v>
      </c>
      <c r="I403" s="1">
        <v>1</v>
      </c>
      <c r="J403" s="1">
        <v>2</v>
      </c>
      <c r="K403" s="1">
        <v>0.22</v>
      </c>
    </row>
    <row r="404" spans="1:11" x14ac:dyDescent="0.3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>
        <v>0</v>
      </c>
      <c r="H404" s="1">
        <v>2</v>
      </c>
      <c r="I404" s="1">
        <v>1</v>
      </c>
      <c r="J404" s="1">
        <v>2</v>
      </c>
      <c r="K404" s="1">
        <v>0.22</v>
      </c>
    </row>
    <row r="405" spans="1:11" x14ac:dyDescent="0.3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>
        <v>0</v>
      </c>
      <c r="H405" s="1">
        <v>2</v>
      </c>
      <c r="I405" s="1">
        <v>1</v>
      </c>
      <c r="J405" s="1">
        <v>2</v>
      </c>
      <c r="K405" s="1">
        <v>0.22</v>
      </c>
    </row>
    <row r="406" spans="1:11" x14ac:dyDescent="0.3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>
        <v>0</v>
      </c>
      <c r="H406" s="1">
        <v>2</v>
      </c>
      <c r="I406" s="1">
        <v>1</v>
      </c>
      <c r="J406" s="1">
        <v>2</v>
      </c>
      <c r="K406" s="1">
        <v>0.22</v>
      </c>
    </row>
    <row r="407" spans="1:11" x14ac:dyDescent="0.3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>
        <v>0</v>
      </c>
      <c r="H407" s="1">
        <v>2</v>
      </c>
      <c r="I407" s="1">
        <v>1</v>
      </c>
      <c r="J407" s="1">
        <v>2</v>
      </c>
      <c r="K407" s="1">
        <v>0.22</v>
      </c>
    </row>
    <row r="408" spans="1:11" x14ac:dyDescent="0.3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>
        <v>0</v>
      </c>
      <c r="H408" s="1">
        <v>2</v>
      </c>
      <c r="I408" s="1">
        <v>1</v>
      </c>
      <c r="J408" s="1">
        <v>2</v>
      </c>
      <c r="K408" s="1">
        <v>0.22</v>
      </c>
    </row>
    <row r="409" spans="1:11" x14ac:dyDescent="0.3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>
        <v>0</v>
      </c>
      <c r="H409" s="1">
        <v>2</v>
      </c>
      <c r="I409" s="1">
        <v>1</v>
      </c>
      <c r="J409" s="1">
        <v>2</v>
      </c>
      <c r="K409" s="1">
        <v>0.22</v>
      </c>
    </row>
    <row r="410" spans="1:11" x14ac:dyDescent="0.3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>
        <v>0</v>
      </c>
      <c r="H410" s="1">
        <v>3</v>
      </c>
      <c r="I410" s="1">
        <v>1</v>
      </c>
      <c r="J410" s="1">
        <v>2</v>
      </c>
      <c r="K410" s="1">
        <v>0.22</v>
      </c>
    </row>
    <row r="411" spans="1:11" x14ac:dyDescent="0.3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>
        <v>0</v>
      </c>
      <c r="H411" s="1">
        <v>3</v>
      </c>
      <c r="I411" s="1">
        <v>1</v>
      </c>
      <c r="J411" s="1">
        <v>3</v>
      </c>
      <c r="K411" s="1">
        <v>0.22</v>
      </c>
    </row>
    <row r="412" spans="1:11" x14ac:dyDescent="0.3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>
        <v>0</v>
      </c>
      <c r="H412" s="1">
        <v>3</v>
      </c>
      <c r="I412" s="1">
        <v>1</v>
      </c>
      <c r="J412" s="1">
        <v>3</v>
      </c>
      <c r="K412" s="1">
        <v>0.22</v>
      </c>
    </row>
    <row r="413" spans="1:11" x14ac:dyDescent="0.3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>
        <v>0</v>
      </c>
      <c r="H413" s="1">
        <v>3</v>
      </c>
      <c r="I413" s="1">
        <v>1</v>
      </c>
      <c r="J413" s="1">
        <v>3</v>
      </c>
      <c r="K413" s="1">
        <v>0.22</v>
      </c>
    </row>
    <row r="414" spans="1:11" x14ac:dyDescent="0.3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>
        <v>0</v>
      </c>
      <c r="H414" s="1">
        <v>3</v>
      </c>
      <c r="I414" s="1">
        <v>1</v>
      </c>
      <c r="J414" s="1">
        <v>2</v>
      </c>
      <c r="K414" s="1">
        <v>0.22</v>
      </c>
    </row>
    <row r="415" spans="1:11" x14ac:dyDescent="0.3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>
        <v>0</v>
      </c>
      <c r="H415" s="1">
        <v>3</v>
      </c>
      <c r="I415" s="1">
        <v>1</v>
      </c>
      <c r="J415" s="1">
        <v>2</v>
      </c>
      <c r="K415" s="1">
        <v>0.22</v>
      </c>
    </row>
    <row r="416" spans="1:11" x14ac:dyDescent="0.3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>
        <v>0</v>
      </c>
      <c r="H416" s="1">
        <v>3</v>
      </c>
      <c r="I416" s="1">
        <v>1</v>
      </c>
      <c r="J416" s="1">
        <v>2</v>
      </c>
      <c r="K416" s="1">
        <v>0.24</v>
      </c>
    </row>
    <row r="417" spans="1:11" x14ac:dyDescent="0.3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>
        <v>0</v>
      </c>
      <c r="H417" s="1">
        <v>3</v>
      </c>
      <c r="I417" s="1">
        <v>1</v>
      </c>
      <c r="J417" s="1">
        <v>2</v>
      </c>
      <c r="K417" s="1">
        <v>0.24</v>
      </c>
    </row>
    <row r="418" spans="1:11" x14ac:dyDescent="0.3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>
        <v>0</v>
      </c>
      <c r="H418" s="1">
        <v>3</v>
      </c>
      <c r="I418" s="1">
        <v>1</v>
      </c>
      <c r="J418" s="1">
        <v>2</v>
      </c>
      <c r="K418" s="1">
        <v>0.24</v>
      </c>
    </row>
    <row r="419" spans="1:11" x14ac:dyDescent="0.3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>
        <v>0</v>
      </c>
      <c r="H419" s="1">
        <v>3</v>
      </c>
      <c r="I419" s="1">
        <v>1</v>
      </c>
      <c r="J419" s="1">
        <v>2</v>
      </c>
      <c r="K419" s="1">
        <v>0.26</v>
      </c>
    </row>
    <row r="420" spans="1:11" x14ac:dyDescent="0.3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>
        <v>0</v>
      </c>
      <c r="H420" s="1">
        <v>3</v>
      </c>
      <c r="I420" s="1">
        <v>1</v>
      </c>
      <c r="J420" s="1">
        <v>2</v>
      </c>
      <c r="K420" s="1">
        <v>0.28000000000000003</v>
      </c>
    </row>
    <row r="421" spans="1:11" x14ac:dyDescent="0.3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>
        <v>0</v>
      </c>
      <c r="H421" s="1">
        <v>3</v>
      </c>
      <c r="I421" s="1">
        <v>1</v>
      </c>
      <c r="J421" s="1">
        <v>2</v>
      </c>
      <c r="K421" s="1">
        <v>0.3</v>
      </c>
    </row>
    <row r="422" spans="1:11" x14ac:dyDescent="0.3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>
        <v>0</v>
      </c>
      <c r="H422" s="1">
        <v>3</v>
      </c>
      <c r="I422" s="1">
        <v>1</v>
      </c>
      <c r="J422" s="1">
        <v>1</v>
      </c>
      <c r="K422" s="1">
        <v>0.4</v>
      </c>
    </row>
    <row r="423" spans="1:11" x14ac:dyDescent="0.3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>
        <v>0</v>
      </c>
      <c r="H423" s="1">
        <v>3</v>
      </c>
      <c r="I423" s="1">
        <v>1</v>
      </c>
      <c r="J423" s="1">
        <v>1</v>
      </c>
      <c r="K423" s="1">
        <v>0.4</v>
      </c>
    </row>
    <row r="424" spans="1:11" x14ac:dyDescent="0.3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>
        <v>0</v>
      </c>
      <c r="H424" s="1">
        <v>3</v>
      </c>
      <c r="I424" s="1">
        <v>1</v>
      </c>
      <c r="J424" s="1">
        <v>1</v>
      </c>
      <c r="K424" s="1">
        <v>0.4</v>
      </c>
    </row>
    <row r="425" spans="1:11" x14ac:dyDescent="0.3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>
        <v>0</v>
      </c>
      <c r="H425" s="1">
        <v>3</v>
      </c>
      <c r="I425" s="1">
        <v>1</v>
      </c>
      <c r="J425" s="1">
        <v>1</v>
      </c>
      <c r="K425" s="1">
        <v>0.38</v>
      </c>
    </row>
    <row r="426" spans="1:11" x14ac:dyDescent="0.3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>
        <v>0</v>
      </c>
      <c r="H426" s="1">
        <v>3</v>
      </c>
      <c r="I426" s="1">
        <v>1</v>
      </c>
      <c r="J426" s="1">
        <v>1</v>
      </c>
      <c r="K426" s="1">
        <v>0.36</v>
      </c>
    </row>
    <row r="427" spans="1:11" x14ac:dyDescent="0.3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>
        <v>0</v>
      </c>
      <c r="H427" s="1">
        <v>3</v>
      </c>
      <c r="I427" s="1">
        <v>1</v>
      </c>
      <c r="J427" s="1">
        <v>1</v>
      </c>
      <c r="K427" s="1">
        <v>0.34</v>
      </c>
    </row>
    <row r="428" spans="1:11" x14ac:dyDescent="0.3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>
        <v>0</v>
      </c>
      <c r="H428" s="1">
        <v>3</v>
      </c>
      <c r="I428" s="1">
        <v>1</v>
      </c>
      <c r="J428" s="1">
        <v>1</v>
      </c>
      <c r="K428" s="1">
        <v>0.32</v>
      </c>
    </row>
    <row r="429" spans="1:11" x14ac:dyDescent="0.3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>
        <v>0</v>
      </c>
      <c r="H429" s="1">
        <v>3</v>
      </c>
      <c r="I429" s="1">
        <v>1</v>
      </c>
      <c r="J429" s="1">
        <v>1</v>
      </c>
      <c r="K429" s="1">
        <v>0.32</v>
      </c>
    </row>
    <row r="430" spans="1:11" x14ac:dyDescent="0.3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>
        <v>0</v>
      </c>
      <c r="H430" s="1">
        <v>3</v>
      </c>
      <c r="I430" s="1">
        <v>1</v>
      </c>
      <c r="J430" s="1">
        <v>1</v>
      </c>
      <c r="K430" s="1">
        <v>0.32</v>
      </c>
    </row>
    <row r="431" spans="1:11" x14ac:dyDescent="0.3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>
        <v>0</v>
      </c>
      <c r="H431" s="1">
        <v>3</v>
      </c>
      <c r="I431" s="1">
        <v>1</v>
      </c>
      <c r="J431" s="1">
        <v>1</v>
      </c>
      <c r="K431" s="1">
        <v>0.3</v>
      </c>
    </row>
    <row r="432" spans="1:11" x14ac:dyDescent="0.3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>
        <v>0</v>
      </c>
      <c r="H432" s="1">
        <v>3</v>
      </c>
      <c r="I432" s="1">
        <v>1</v>
      </c>
      <c r="J432" s="1">
        <v>1</v>
      </c>
      <c r="K432" s="1">
        <v>0.3</v>
      </c>
    </row>
    <row r="433" spans="1:11" x14ac:dyDescent="0.3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>
        <v>0</v>
      </c>
      <c r="H433" s="1">
        <v>4</v>
      </c>
      <c r="I433" s="1">
        <v>1</v>
      </c>
      <c r="J433" s="1">
        <v>1</v>
      </c>
      <c r="K433" s="1">
        <v>0.26</v>
      </c>
    </row>
    <row r="434" spans="1:11" x14ac:dyDescent="0.3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>
        <v>0</v>
      </c>
      <c r="H434" s="1">
        <v>4</v>
      </c>
      <c r="I434" s="1">
        <v>1</v>
      </c>
      <c r="J434" s="1">
        <v>1</v>
      </c>
      <c r="K434" s="1">
        <v>0.26</v>
      </c>
    </row>
    <row r="435" spans="1:11" x14ac:dyDescent="0.3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>
        <v>0</v>
      </c>
      <c r="H435" s="1">
        <v>4</v>
      </c>
      <c r="I435" s="1">
        <v>1</v>
      </c>
      <c r="J435" s="1">
        <v>1</v>
      </c>
      <c r="K435" s="1">
        <v>0.26</v>
      </c>
    </row>
    <row r="436" spans="1:11" x14ac:dyDescent="0.3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>
        <v>0</v>
      </c>
      <c r="H436" s="1">
        <v>4</v>
      </c>
      <c r="I436" s="1">
        <v>1</v>
      </c>
      <c r="J436" s="1">
        <v>1</v>
      </c>
      <c r="K436" s="1">
        <v>0.26</v>
      </c>
    </row>
    <row r="437" spans="1:11" x14ac:dyDescent="0.3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>
        <v>0</v>
      </c>
      <c r="H437" s="1">
        <v>4</v>
      </c>
      <c r="I437" s="1">
        <v>1</v>
      </c>
      <c r="J437" s="1">
        <v>1</v>
      </c>
      <c r="K437" s="1">
        <v>0.26</v>
      </c>
    </row>
    <row r="438" spans="1:11" x14ac:dyDescent="0.3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>
        <v>0</v>
      </c>
      <c r="H438" s="1">
        <v>4</v>
      </c>
      <c r="I438" s="1">
        <v>1</v>
      </c>
      <c r="J438" s="1">
        <v>1</v>
      </c>
      <c r="K438" s="1">
        <v>0.24</v>
      </c>
    </row>
    <row r="439" spans="1:11" x14ac:dyDescent="0.3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>
        <v>0</v>
      </c>
      <c r="H439" s="1">
        <v>4</v>
      </c>
      <c r="I439" s="1">
        <v>1</v>
      </c>
      <c r="J439" s="1">
        <v>1</v>
      </c>
      <c r="K439" s="1">
        <v>0.22</v>
      </c>
    </row>
    <row r="440" spans="1:11" x14ac:dyDescent="0.3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>
        <v>0</v>
      </c>
      <c r="H440" s="1">
        <v>4</v>
      </c>
      <c r="I440" s="1">
        <v>1</v>
      </c>
      <c r="J440" s="1">
        <v>1</v>
      </c>
      <c r="K440" s="1">
        <v>0.22</v>
      </c>
    </row>
    <row r="441" spans="1:11" x14ac:dyDescent="0.3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>
        <v>0</v>
      </c>
      <c r="H441" s="1">
        <v>4</v>
      </c>
      <c r="I441" s="1">
        <v>1</v>
      </c>
      <c r="J441" s="1">
        <v>1</v>
      </c>
      <c r="K441" s="1">
        <v>0.22</v>
      </c>
    </row>
    <row r="442" spans="1:11" x14ac:dyDescent="0.3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>
        <v>0</v>
      </c>
      <c r="H442" s="1">
        <v>4</v>
      </c>
      <c r="I442" s="1">
        <v>1</v>
      </c>
      <c r="J442" s="1">
        <v>2</v>
      </c>
      <c r="K442" s="1">
        <v>0.24</v>
      </c>
    </row>
    <row r="443" spans="1:11" x14ac:dyDescent="0.3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>
        <v>0</v>
      </c>
      <c r="H443" s="1">
        <v>4</v>
      </c>
      <c r="I443" s="1">
        <v>1</v>
      </c>
      <c r="J443" s="1">
        <v>1</v>
      </c>
      <c r="K443" s="1">
        <v>0.26</v>
      </c>
    </row>
    <row r="444" spans="1:11" x14ac:dyDescent="0.3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>
        <v>0</v>
      </c>
      <c r="H444" s="1">
        <v>4</v>
      </c>
      <c r="I444" s="1">
        <v>1</v>
      </c>
      <c r="J444" s="1">
        <v>2</v>
      </c>
      <c r="K444" s="1">
        <v>0.28000000000000003</v>
      </c>
    </row>
    <row r="445" spans="1:11" x14ac:dyDescent="0.3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>
        <v>0</v>
      </c>
      <c r="H445" s="1">
        <v>4</v>
      </c>
      <c r="I445" s="1">
        <v>1</v>
      </c>
      <c r="J445" s="1">
        <v>2</v>
      </c>
      <c r="K445" s="1">
        <v>0.3</v>
      </c>
    </row>
    <row r="446" spans="1:11" x14ac:dyDescent="0.3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>
        <v>0</v>
      </c>
      <c r="H446" s="1">
        <v>4</v>
      </c>
      <c r="I446" s="1">
        <v>1</v>
      </c>
      <c r="J446" s="1">
        <v>2</v>
      </c>
      <c r="K446" s="1">
        <v>0.28000000000000003</v>
      </c>
    </row>
    <row r="447" spans="1:11" x14ac:dyDescent="0.3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>
        <v>0</v>
      </c>
      <c r="H447" s="1">
        <v>4</v>
      </c>
      <c r="I447" s="1">
        <v>1</v>
      </c>
      <c r="J447" s="1">
        <v>2</v>
      </c>
      <c r="K447" s="1">
        <v>0.3</v>
      </c>
    </row>
    <row r="448" spans="1:11" x14ac:dyDescent="0.3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>
        <v>0</v>
      </c>
      <c r="H448" s="1">
        <v>4</v>
      </c>
      <c r="I448" s="1">
        <v>1</v>
      </c>
      <c r="J448" s="1">
        <v>2</v>
      </c>
      <c r="K448" s="1">
        <v>0.32</v>
      </c>
    </row>
    <row r="449" spans="1:11" x14ac:dyDescent="0.3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>
        <v>0</v>
      </c>
      <c r="H449" s="1">
        <v>4</v>
      </c>
      <c r="I449" s="1">
        <v>1</v>
      </c>
      <c r="J449" s="1">
        <v>2</v>
      </c>
      <c r="K449" s="1">
        <v>0.3</v>
      </c>
    </row>
    <row r="450" spans="1:11" x14ac:dyDescent="0.3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>
        <v>0</v>
      </c>
      <c r="H450" s="1">
        <v>4</v>
      </c>
      <c r="I450" s="1">
        <v>1</v>
      </c>
      <c r="J450" s="1">
        <v>2</v>
      </c>
      <c r="K450" s="1">
        <v>0.3</v>
      </c>
    </row>
    <row r="451" spans="1:11" x14ac:dyDescent="0.3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>
        <v>0</v>
      </c>
      <c r="H451" s="1">
        <v>4</v>
      </c>
      <c r="I451" s="1">
        <v>1</v>
      </c>
      <c r="J451" s="1">
        <v>2</v>
      </c>
      <c r="K451" s="1">
        <v>0.26</v>
      </c>
    </row>
    <row r="452" spans="1:11" x14ac:dyDescent="0.3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>
        <v>0</v>
      </c>
      <c r="H452" s="1">
        <v>4</v>
      </c>
      <c r="I452" s="1">
        <v>1</v>
      </c>
      <c r="J452" s="1">
        <v>1</v>
      </c>
      <c r="K452" s="1">
        <v>0.26</v>
      </c>
    </row>
    <row r="453" spans="1:11" x14ac:dyDescent="0.3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>
        <v>0</v>
      </c>
      <c r="H453" s="1">
        <v>4</v>
      </c>
      <c r="I453" s="1">
        <v>1</v>
      </c>
      <c r="J453" s="1">
        <v>2</v>
      </c>
      <c r="K453" s="1">
        <v>0.26</v>
      </c>
    </row>
    <row r="454" spans="1:11" x14ac:dyDescent="0.3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>
        <v>0</v>
      </c>
      <c r="H454" s="1">
        <v>4</v>
      </c>
      <c r="I454" s="1">
        <v>1</v>
      </c>
      <c r="J454" s="1">
        <v>2</v>
      </c>
      <c r="K454" s="1">
        <v>0.24</v>
      </c>
    </row>
    <row r="455" spans="1:11" x14ac:dyDescent="0.3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>
        <v>0</v>
      </c>
      <c r="H455" s="1">
        <v>4</v>
      </c>
      <c r="I455" s="1">
        <v>1</v>
      </c>
      <c r="J455" s="1">
        <v>2</v>
      </c>
      <c r="K455" s="1">
        <v>0.24</v>
      </c>
    </row>
    <row r="456" spans="1:11" x14ac:dyDescent="0.3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>
        <v>0</v>
      </c>
      <c r="H456" s="1">
        <v>4</v>
      </c>
      <c r="I456" s="1">
        <v>1</v>
      </c>
      <c r="J456" s="1">
        <v>2</v>
      </c>
      <c r="K456" s="1">
        <v>0.24</v>
      </c>
    </row>
    <row r="457" spans="1:11" x14ac:dyDescent="0.3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>
        <v>0</v>
      </c>
      <c r="H457" s="1">
        <v>5</v>
      </c>
      <c r="I457" s="1">
        <v>1</v>
      </c>
      <c r="J457" s="1">
        <v>2</v>
      </c>
      <c r="K457" s="1">
        <v>0.24</v>
      </c>
    </row>
    <row r="458" spans="1:11" x14ac:dyDescent="0.3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>
        <v>0</v>
      </c>
      <c r="H458" s="1">
        <v>5</v>
      </c>
      <c r="I458" s="1">
        <v>1</v>
      </c>
      <c r="J458" s="1">
        <v>2</v>
      </c>
      <c r="K458" s="1">
        <v>0.24</v>
      </c>
    </row>
    <row r="459" spans="1:11" x14ac:dyDescent="0.3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>
        <v>0</v>
      </c>
      <c r="H459" s="1">
        <v>5</v>
      </c>
      <c r="I459" s="1">
        <v>1</v>
      </c>
      <c r="J459" s="1">
        <v>3</v>
      </c>
      <c r="K459" s="1">
        <v>0.24</v>
      </c>
    </row>
    <row r="460" spans="1:11" x14ac:dyDescent="0.3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>
        <v>0</v>
      </c>
      <c r="H460" s="1">
        <v>5</v>
      </c>
      <c r="I460" s="1">
        <v>1</v>
      </c>
      <c r="J460" s="1">
        <v>3</v>
      </c>
      <c r="K460" s="1">
        <v>0.22</v>
      </c>
    </row>
    <row r="461" spans="1:11" x14ac:dyDescent="0.3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>
        <v>0</v>
      </c>
      <c r="H461" s="1">
        <v>5</v>
      </c>
      <c r="I461" s="1">
        <v>1</v>
      </c>
      <c r="J461" s="1">
        <v>2</v>
      </c>
      <c r="K461" s="1">
        <v>0.22</v>
      </c>
    </row>
    <row r="462" spans="1:11" x14ac:dyDescent="0.3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>
        <v>0</v>
      </c>
      <c r="H462" s="1">
        <v>5</v>
      </c>
      <c r="I462" s="1">
        <v>1</v>
      </c>
      <c r="J462" s="1">
        <v>1</v>
      </c>
      <c r="K462" s="1">
        <v>0.24</v>
      </c>
    </row>
    <row r="463" spans="1:11" x14ac:dyDescent="0.3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>
        <v>0</v>
      </c>
      <c r="H463" s="1">
        <v>5</v>
      </c>
      <c r="I463" s="1">
        <v>1</v>
      </c>
      <c r="J463" s="1">
        <v>1</v>
      </c>
      <c r="K463" s="1">
        <v>0.22</v>
      </c>
    </row>
    <row r="464" spans="1:11" x14ac:dyDescent="0.3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>
        <v>0</v>
      </c>
      <c r="H464" s="1">
        <v>5</v>
      </c>
      <c r="I464" s="1">
        <v>1</v>
      </c>
      <c r="J464" s="1">
        <v>1</v>
      </c>
      <c r="K464" s="1">
        <v>0.2</v>
      </c>
    </row>
    <row r="465" spans="1:11" x14ac:dyDescent="0.3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>
        <v>0</v>
      </c>
      <c r="H465" s="1">
        <v>5</v>
      </c>
      <c r="I465" s="1">
        <v>1</v>
      </c>
      <c r="J465" s="1">
        <v>1</v>
      </c>
      <c r="K465" s="1">
        <v>0.2</v>
      </c>
    </row>
    <row r="466" spans="1:11" x14ac:dyDescent="0.3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>
        <v>0</v>
      </c>
      <c r="H466" s="1">
        <v>5</v>
      </c>
      <c r="I466" s="1">
        <v>1</v>
      </c>
      <c r="J466" s="1">
        <v>1</v>
      </c>
      <c r="K466" s="1">
        <v>0.2</v>
      </c>
    </row>
    <row r="467" spans="1:11" x14ac:dyDescent="0.3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>
        <v>0</v>
      </c>
      <c r="H467" s="1">
        <v>5</v>
      </c>
      <c r="I467" s="1">
        <v>1</v>
      </c>
      <c r="J467" s="1">
        <v>1</v>
      </c>
      <c r="K467" s="1">
        <v>0.2</v>
      </c>
    </row>
    <row r="468" spans="1:11" x14ac:dyDescent="0.3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>
        <v>0</v>
      </c>
      <c r="H468" s="1">
        <v>5</v>
      </c>
      <c r="I468" s="1">
        <v>1</v>
      </c>
      <c r="J468" s="1">
        <v>1</v>
      </c>
      <c r="K468" s="1">
        <v>0.22</v>
      </c>
    </row>
    <row r="469" spans="1:11" x14ac:dyDescent="0.3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>
        <v>0</v>
      </c>
      <c r="H469" s="1">
        <v>5</v>
      </c>
      <c r="I469" s="1">
        <v>1</v>
      </c>
      <c r="J469" s="1">
        <v>1</v>
      </c>
      <c r="K469" s="1">
        <v>0.22</v>
      </c>
    </row>
    <row r="470" spans="1:11" x14ac:dyDescent="0.3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>
        <v>0</v>
      </c>
      <c r="H470" s="1">
        <v>5</v>
      </c>
      <c r="I470" s="1">
        <v>1</v>
      </c>
      <c r="J470" s="1">
        <v>1</v>
      </c>
      <c r="K470" s="1">
        <v>0.2</v>
      </c>
    </row>
    <row r="471" spans="1:11" x14ac:dyDescent="0.3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>
        <v>0</v>
      </c>
      <c r="H471" s="1">
        <v>5</v>
      </c>
      <c r="I471" s="1">
        <v>1</v>
      </c>
      <c r="J471" s="1">
        <v>1</v>
      </c>
      <c r="K471" s="1">
        <v>0.2</v>
      </c>
    </row>
    <row r="472" spans="1:11" x14ac:dyDescent="0.3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>
        <v>0</v>
      </c>
      <c r="H472" s="1">
        <v>5</v>
      </c>
      <c r="I472" s="1">
        <v>1</v>
      </c>
      <c r="J472" s="1">
        <v>1</v>
      </c>
      <c r="K472" s="1">
        <v>0.16</v>
      </c>
    </row>
    <row r="473" spans="1:11" x14ac:dyDescent="0.3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>
        <v>0</v>
      </c>
      <c r="H473" s="1">
        <v>5</v>
      </c>
      <c r="I473" s="1">
        <v>1</v>
      </c>
      <c r="J473" s="1">
        <v>1</v>
      </c>
      <c r="K473" s="1">
        <v>0.16</v>
      </c>
    </row>
    <row r="474" spans="1:11" x14ac:dyDescent="0.3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>
        <v>0</v>
      </c>
      <c r="H474" s="1">
        <v>5</v>
      </c>
      <c r="I474" s="1">
        <v>1</v>
      </c>
      <c r="J474" s="1">
        <v>1</v>
      </c>
      <c r="K474" s="1">
        <v>0.14000000000000001</v>
      </c>
    </row>
    <row r="475" spans="1:11" x14ac:dyDescent="0.3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>
        <v>0</v>
      </c>
      <c r="H475" s="1">
        <v>5</v>
      </c>
      <c r="I475" s="1">
        <v>1</v>
      </c>
      <c r="J475" s="1">
        <v>1</v>
      </c>
      <c r="K475" s="1">
        <v>0.12</v>
      </c>
    </row>
    <row r="476" spans="1:11" x14ac:dyDescent="0.3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>
        <v>0</v>
      </c>
      <c r="H476" s="1">
        <v>5</v>
      </c>
      <c r="I476" s="1">
        <v>1</v>
      </c>
      <c r="J476" s="1">
        <v>1</v>
      </c>
      <c r="K476" s="1">
        <v>0.12</v>
      </c>
    </row>
    <row r="477" spans="1:11" x14ac:dyDescent="0.3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>
        <v>0</v>
      </c>
      <c r="H477" s="1">
        <v>5</v>
      </c>
      <c r="I477" s="1">
        <v>1</v>
      </c>
      <c r="J477" s="1">
        <v>1</v>
      </c>
      <c r="K477" s="1">
        <v>0.1</v>
      </c>
    </row>
    <row r="478" spans="1:11" x14ac:dyDescent="0.3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>
        <v>0</v>
      </c>
      <c r="H478" s="1">
        <v>5</v>
      </c>
      <c r="I478" s="1">
        <v>1</v>
      </c>
      <c r="J478" s="1">
        <v>1</v>
      </c>
      <c r="K478" s="1">
        <v>0.08</v>
      </c>
    </row>
    <row r="479" spans="1:11" x14ac:dyDescent="0.3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>
        <v>0</v>
      </c>
      <c r="H479" s="1">
        <v>5</v>
      </c>
      <c r="I479" s="1">
        <v>1</v>
      </c>
      <c r="J479" s="1">
        <v>1</v>
      </c>
      <c r="K479" s="1">
        <v>0.06</v>
      </c>
    </row>
    <row r="480" spans="1:11" x14ac:dyDescent="0.3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>
        <v>0</v>
      </c>
      <c r="H480" s="1">
        <v>5</v>
      </c>
      <c r="I480" s="1">
        <v>1</v>
      </c>
      <c r="J480" s="1">
        <v>1</v>
      </c>
      <c r="K480" s="1">
        <v>0.06</v>
      </c>
    </row>
    <row r="481" spans="1:11" x14ac:dyDescent="0.3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>
        <v>0</v>
      </c>
      <c r="H481" s="1">
        <v>6</v>
      </c>
      <c r="I481" s="1">
        <v>0</v>
      </c>
      <c r="J481" s="1">
        <v>1</v>
      </c>
      <c r="K481" s="1">
        <v>0.04</v>
      </c>
    </row>
    <row r="482" spans="1:11" x14ac:dyDescent="0.3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>
        <v>0</v>
      </c>
      <c r="H482" s="1">
        <v>6</v>
      </c>
      <c r="I482" s="1">
        <v>0</v>
      </c>
      <c r="J482" s="1">
        <v>2</v>
      </c>
      <c r="K482" s="1">
        <v>0.04</v>
      </c>
    </row>
    <row r="483" spans="1:11" x14ac:dyDescent="0.3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>
        <v>0</v>
      </c>
      <c r="H483" s="1">
        <v>6</v>
      </c>
      <c r="I483" s="1">
        <v>0</v>
      </c>
      <c r="J483" s="1">
        <v>2</v>
      </c>
      <c r="K483" s="1">
        <v>0.04</v>
      </c>
    </row>
    <row r="484" spans="1:11" x14ac:dyDescent="0.3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>
        <v>0</v>
      </c>
      <c r="H484" s="1">
        <v>6</v>
      </c>
      <c r="I484" s="1">
        <v>0</v>
      </c>
      <c r="J484" s="1">
        <v>2</v>
      </c>
      <c r="K484" s="1">
        <v>0.04</v>
      </c>
    </row>
    <row r="485" spans="1:11" x14ac:dyDescent="0.3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>
        <v>0</v>
      </c>
      <c r="H485" s="1">
        <v>6</v>
      </c>
      <c r="I485" s="1">
        <v>0</v>
      </c>
      <c r="J485" s="1">
        <v>2</v>
      </c>
      <c r="K485" s="1">
        <v>0.02</v>
      </c>
    </row>
    <row r="486" spans="1:11" x14ac:dyDescent="0.3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>
        <v>0</v>
      </c>
      <c r="H486" s="1">
        <v>6</v>
      </c>
      <c r="I486" s="1">
        <v>0</v>
      </c>
      <c r="J486" s="1">
        <v>2</v>
      </c>
      <c r="K486" s="1">
        <v>0.02</v>
      </c>
    </row>
    <row r="487" spans="1:11" x14ac:dyDescent="0.3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>
        <v>0</v>
      </c>
      <c r="H487" s="1">
        <v>6</v>
      </c>
      <c r="I487" s="1">
        <v>0</v>
      </c>
      <c r="J487" s="1">
        <v>1</v>
      </c>
      <c r="K487" s="1">
        <v>0.02</v>
      </c>
    </row>
    <row r="488" spans="1:11" x14ac:dyDescent="0.3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>
        <v>0</v>
      </c>
      <c r="H488" s="1">
        <v>6</v>
      </c>
      <c r="I488" s="1">
        <v>0</v>
      </c>
      <c r="J488" s="1">
        <v>1</v>
      </c>
      <c r="K488" s="1">
        <v>0.02</v>
      </c>
    </row>
    <row r="489" spans="1:11" x14ac:dyDescent="0.3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>
        <v>0</v>
      </c>
      <c r="H489" s="1">
        <v>6</v>
      </c>
      <c r="I489" s="1">
        <v>0</v>
      </c>
      <c r="J489" s="1">
        <v>1</v>
      </c>
      <c r="K489" s="1">
        <v>0.04</v>
      </c>
    </row>
    <row r="490" spans="1:11" x14ac:dyDescent="0.3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>
        <v>0</v>
      </c>
      <c r="H490" s="1">
        <v>6</v>
      </c>
      <c r="I490" s="1">
        <v>0</v>
      </c>
      <c r="J490" s="1">
        <v>2</v>
      </c>
      <c r="K490" s="1">
        <v>0.04</v>
      </c>
    </row>
    <row r="491" spans="1:11" x14ac:dyDescent="0.3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>
        <v>0</v>
      </c>
      <c r="H491" s="1">
        <v>6</v>
      </c>
      <c r="I491" s="1">
        <v>0</v>
      </c>
      <c r="J491" s="1">
        <v>2</v>
      </c>
      <c r="K491" s="1">
        <v>0.06</v>
      </c>
    </row>
    <row r="492" spans="1:11" x14ac:dyDescent="0.3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>
        <v>0</v>
      </c>
      <c r="H492" s="1">
        <v>6</v>
      </c>
      <c r="I492" s="1">
        <v>0</v>
      </c>
      <c r="J492" s="1">
        <v>2</v>
      </c>
      <c r="K492" s="1">
        <v>0.06</v>
      </c>
    </row>
    <row r="493" spans="1:11" x14ac:dyDescent="0.3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>
        <v>0</v>
      </c>
      <c r="H493" s="1">
        <v>6</v>
      </c>
      <c r="I493" s="1">
        <v>0</v>
      </c>
      <c r="J493" s="1">
        <v>1</v>
      </c>
      <c r="K493" s="1">
        <v>0.08</v>
      </c>
    </row>
    <row r="494" spans="1:11" x14ac:dyDescent="0.3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>
        <v>0</v>
      </c>
      <c r="H494" s="1">
        <v>6</v>
      </c>
      <c r="I494" s="1">
        <v>0</v>
      </c>
      <c r="J494" s="1">
        <v>1</v>
      </c>
      <c r="K494" s="1">
        <v>0.1</v>
      </c>
    </row>
    <row r="495" spans="1:11" x14ac:dyDescent="0.3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>
        <v>0</v>
      </c>
      <c r="H495" s="1">
        <v>6</v>
      </c>
      <c r="I495" s="1">
        <v>0</v>
      </c>
      <c r="J495" s="1">
        <v>1</v>
      </c>
      <c r="K495" s="1">
        <v>0.12</v>
      </c>
    </row>
    <row r="496" spans="1:11" x14ac:dyDescent="0.3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>
        <v>0</v>
      </c>
      <c r="H496" s="1">
        <v>6</v>
      </c>
      <c r="I496" s="1">
        <v>0</v>
      </c>
      <c r="J496" s="1">
        <v>1</v>
      </c>
      <c r="K496" s="1">
        <v>0.12</v>
      </c>
    </row>
    <row r="497" spans="1:11" x14ac:dyDescent="0.3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>
        <v>0</v>
      </c>
      <c r="H497" s="1">
        <v>6</v>
      </c>
      <c r="I497" s="1">
        <v>0</v>
      </c>
      <c r="J497" s="1">
        <v>1</v>
      </c>
      <c r="K497" s="1">
        <v>0.12</v>
      </c>
    </row>
    <row r="498" spans="1:11" x14ac:dyDescent="0.3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>
        <v>0</v>
      </c>
      <c r="H498" s="1">
        <v>6</v>
      </c>
      <c r="I498" s="1">
        <v>0</v>
      </c>
      <c r="J498" s="1">
        <v>1</v>
      </c>
      <c r="K498" s="1">
        <v>0.08</v>
      </c>
    </row>
    <row r="499" spans="1:11" x14ac:dyDescent="0.3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>
        <v>0</v>
      </c>
      <c r="H499" s="1">
        <v>6</v>
      </c>
      <c r="I499" s="1">
        <v>0</v>
      </c>
      <c r="J499" s="1">
        <v>1</v>
      </c>
      <c r="K499" s="1">
        <v>0.08</v>
      </c>
    </row>
    <row r="500" spans="1:11" x14ac:dyDescent="0.3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>
        <v>0</v>
      </c>
      <c r="H500" s="1">
        <v>6</v>
      </c>
      <c r="I500" s="1">
        <v>0</v>
      </c>
      <c r="J500" s="1">
        <v>1</v>
      </c>
      <c r="K500" s="1">
        <v>0.06</v>
      </c>
    </row>
    <row r="501" spans="1:11" x14ac:dyDescent="0.3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>
        <v>0</v>
      </c>
      <c r="H501" s="1">
        <v>6</v>
      </c>
      <c r="I501" s="1">
        <v>0</v>
      </c>
      <c r="J501" s="1">
        <v>1</v>
      </c>
      <c r="K501" s="1">
        <v>0.06</v>
      </c>
    </row>
    <row r="502" spans="1:11" x14ac:dyDescent="0.3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>
        <v>0</v>
      </c>
      <c r="H502" s="1">
        <v>6</v>
      </c>
      <c r="I502" s="1">
        <v>0</v>
      </c>
      <c r="J502" s="1">
        <v>1</v>
      </c>
      <c r="K502" s="1">
        <v>0.06</v>
      </c>
    </row>
    <row r="503" spans="1:11" x14ac:dyDescent="0.3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>
        <v>0</v>
      </c>
      <c r="H503" s="1">
        <v>6</v>
      </c>
      <c r="I503" s="1">
        <v>0</v>
      </c>
      <c r="J503" s="1">
        <v>1</v>
      </c>
      <c r="K503" s="1">
        <v>0.04</v>
      </c>
    </row>
    <row r="504" spans="1:11" x14ac:dyDescent="0.3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0.04</v>
      </c>
    </row>
    <row r="505" spans="1:11" x14ac:dyDescent="0.3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>
        <v>0</v>
      </c>
      <c r="H505" s="1">
        <v>0</v>
      </c>
      <c r="I505" s="1">
        <v>0</v>
      </c>
      <c r="J505" s="1">
        <v>1</v>
      </c>
      <c r="K505" s="1">
        <v>0.04</v>
      </c>
    </row>
    <row r="506" spans="1:11" x14ac:dyDescent="0.3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>
        <v>0</v>
      </c>
      <c r="H506" s="1">
        <v>0</v>
      </c>
      <c r="I506" s="1">
        <v>0</v>
      </c>
      <c r="J506" s="1">
        <v>1</v>
      </c>
      <c r="K506" s="1">
        <v>0.02</v>
      </c>
    </row>
    <row r="507" spans="1:11" x14ac:dyDescent="0.3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>
        <v>0</v>
      </c>
      <c r="H507" s="1">
        <v>0</v>
      </c>
      <c r="I507" s="1">
        <v>0</v>
      </c>
      <c r="J507" s="1">
        <v>1</v>
      </c>
      <c r="K507" s="1">
        <v>0.02</v>
      </c>
    </row>
    <row r="508" spans="1:11" x14ac:dyDescent="0.3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>
        <v>0</v>
      </c>
      <c r="H508" s="1">
        <v>0</v>
      </c>
      <c r="I508" s="1">
        <v>0</v>
      </c>
      <c r="J508" s="1">
        <v>2</v>
      </c>
      <c r="K508" s="1">
        <v>0.04</v>
      </c>
    </row>
    <row r="509" spans="1:11" x14ac:dyDescent="0.3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>
        <v>0</v>
      </c>
      <c r="H509" s="1">
        <v>0</v>
      </c>
      <c r="I509" s="1">
        <v>0</v>
      </c>
      <c r="J509" s="1">
        <v>2</v>
      </c>
      <c r="K509" s="1">
        <v>0.04</v>
      </c>
    </row>
    <row r="510" spans="1:11" x14ac:dyDescent="0.3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>
        <v>0</v>
      </c>
      <c r="H510" s="1">
        <v>0</v>
      </c>
      <c r="I510" s="1">
        <v>0</v>
      </c>
      <c r="J510" s="1">
        <v>1</v>
      </c>
      <c r="K510" s="1">
        <v>0.08</v>
      </c>
    </row>
    <row r="511" spans="1:11" x14ac:dyDescent="0.3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>
        <v>0</v>
      </c>
      <c r="H511" s="1">
        <v>0</v>
      </c>
      <c r="I511" s="1">
        <v>0</v>
      </c>
      <c r="J511" s="1">
        <v>1</v>
      </c>
      <c r="K511" s="1">
        <v>0.06</v>
      </c>
    </row>
    <row r="512" spans="1:11" x14ac:dyDescent="0.3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>
        <v>0</v>
      </c>
      <c r="H512" s="1">
        <v>0</v>
      </c>
      <c r="I512" s="1">
        <v>0</v>
      </c>
      <c r="J512" s="1">
        <v>1</v>
      </c>
      <c r="K512" s="1">
        <v>0.1</v>
      </c>
    </row>
    <row r="513" spans="1:11" x14ac:dyDescent="0.3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>
        <v>0</v>
      </c>
      <c r="H513" s="1">
        <v>0</v>
      </c>
      <c r="I513" s="1">
        <v>0</v>
      </c>
      <c r="J513" s="1">
        <v>1</v>
      </c>
      <c r="K513" s="1">
        <v>0.14000000000000001</v>
      </c>
    </row>
    <row r="514" spans="1:11" x14ac:dyDescent="0.3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>
        <v>0</v>
      </c>
      <c r="H514" s="1">
        <v>0</v>
      </c>
      <c r="I514" s="1">
        <v>0</v>
      </c>
      <c r="J514" s="1">
        <v>1</v>
      </c>
      <c r="K514" s="1">
        <v>0.14000000000000001</v>
      </c>
    </row>
    <row r="515" spans="1:11" x14ac:dyDescent="0.3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>
        <v>0</v>
      </c>
      <c r="H515" s="1">
        <v>0</v>
      </c>
      <c r="I515" s="1">
        <v>0</v>
      </c>
      <c r="J515" s="1">
        <v>1</v>
      </c>
      <c r="K515" s="1">
        <v>0.16</v>
      </c>
    </row>
    <row r="516" spans="1:11" x14ac:dyDescent="0.3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>
        <v>0</v>
      </c>
      <c r="H516" s="1">
        <v>0</v>
      </c>
      <c r="I516" s="1">
        <v>0</v>
      </c>
      <c r="J516" s="1">
        <v>1</v>
      </c>
      <c r="K516" s="1">
        <v>0.14000000000000001</v>
      </c>
    </row>
    <row r="517" spans="1:11" x14ac:dyDescent="0.3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>
        <v>0</v>
      </c>
      <c r="H517" s="1">
        <v>0</v>
      </c>
      <c r="I517" s="1">
        <v>0</v>
      </c>
      <c r="J517" s="1">
        <v>1</v>
      </c>
      <c r="K517" s="1">
        <v>0.16</v>
      </c>
    </row>
    <row r="518" spans="1:11" x14ac:dyDescent="0.3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>
        <v>0</v>
      </c>
      <c r="H518" s="1">
        <v>0</v>
      </c>
      <c r="I518" s="1">
        <v>0</v>
      </c>
      <c r="J518" s="1">
        <v>1</v>
      </c>
      <c r="K518" s="1">
        <v>0.16</v>
      </c>
    </row>
    <row r="519" spans="1:11" x14ac:dyDescent="0.3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>
        <v>0</v>
      </c>
      <c r="H519" s="1">
        <v>0</v>
      </c>
      <c r="I519" s="1">
        <v>0</v>
      </c>
      <c r="J519" s="1">
        <v>1</v>
      </c>
      <c r="K519" s="1">
        <v>0.16</v>
      </c>
    </row>
    <row r="520" spans="1:11" x14ac:dyDescent="0.3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>
        <v>0</v>
      </c>
      <c r="H520" s="1">
        <v>0</v>
      </c>
      <c r="I520" s="1">
        <v>0</v>
      </c>
      <c r="J520" s="1">
        <v>1</v>
      </c>
      <c r="K520" s="1">
        <v>0.14000000000000001</v>
      </c>
    </row>
    <row r="521" spans="1:11" x14ac:dyDescent="0.3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>
        <v>0</v>
      </c>
      <c r="H521" s="1">
        <v>0</v>
      </c>
      <c r="I521" s="1">
        <v>0</v>
      </c>
      <c r="J521" s="1">
        <v>1</v>
      </c>
      <c r="K521" s="1">
        <v>0.12</v>
      </c>
    </row>
    <row r="522" spans="1:11" x14ac:dyDescent="0.3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>
        <v>0</v>
      </c>
      <c r="H522" s="1">
        <v>0</v>
      </c>
      <c r="I522" s="1">
        <v>0</v>
      </c>
      <c r="J522" s="1">
        <v>1</v>
      </c>
      <c r="K522" s="1">
        <v>0.12</v>
      </c>
    </row>
    <row r="523" spans="1:11" x14ac:dyDescent="0.3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>
        <v>0</v>
      </c>
      <c r="H523" s="1">
        <v>0</v>
      </c>
      <c r="I523" s="1">
        <v>0</v>
      </c>
      <c r="J523" s="1">
        <v>1</v>
      </c>
      <c r="K523" s="1">
        <v>0.1</v>
      </c>
    </row>
    <row r="524" spans="1:11" x14ac:dyDescent="0.3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>
        <v>0</v>
      </c>
      <c r="H524" s="1">
        <v>0</v>
      </c>
      <c r="I524" s="1">
        <v>0</v>
      </c>
      <c r="J524" s="1">
        <v>1</v>
      </c>
      <c r="K524" s="1">
        <v>0.1</v>
      </c>
    </row>
    <row r="525" spans="1:11" x14ac:dyDescent="0.3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>
        <v>0</v>
      </c>
      <c r="H525" s="1">
        <v>0</v>
      </c>
      <c r="I525" s="1">
        <v>0</v>
      </c>
      <c r="J525" s="1">
        <v>1</v>
      </c>
      <c r="K525" s="1">
        <v>0.08</v>
      </c>
    </row>
    <row r="526" spans="1:11" x14ac:dyDescent="0.3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>
        <v>0</v>
      </c>
      <c r="H526" s="1">
        <v>0</v>
      </c>
      <c r="I526" s="1">
        <v>0</v>
      </c>
      <c r="J526" s="1">
        <v>1</v>
      </c>
      <c r="K526" s="1">
        <v>0.06</v>
      </c>
    </row>
    <row r="527" spans="1:11" x14ac:dyDescent="0.3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>
        <v>0</v>
      </c>
      <c r="H527" s="1">
        <v>1</v>
      </c>
      <c r="I527" s="1">
        <v>1</v>
      </c>
      <c r="J527" s="1">
        <v>1</v>
      </c>
      <c r="K527" s="1">
        <v>0.06</v>
      </c>
    </row>
    <row r="528" spans="1:11" x14ac:dyDescent="0.3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>
        <v>0</v>
      </c>
      <c r="H528" s="1">
        <v>1</v>
      </c>
      <c r="I528" s="1">
        <v>1</v>
      </c>
      <c r="J528" s="1">
        <v>1</v>
      </c>
      <c r="K528" s="1">
        <v>0.04</v>
      </c>
    </row>
    <row r="529" spans="1:11" x14ac:dyDescent="0.3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>
        <v>0</v>
      </c>
      <c r="H529" s="1">
        <v>1</v>
      </c>
      <c r="I529" s="1">
        <v>1</v>
      </c>
      <c r="J529" s="1">
        <v>1</v>
      </c>
      <c r="K529" s="1">
        <v>0.04</v>
      </c>
    </row>
    <row r="530" spans="1:11" x14ac:dyDescent="0.3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>
        <v>0</v>
      </c>
      <c r="H530" s="1">
        <v>1</v>
      </c>
      <c r="I530" s="1">
        <v>1</v>
      </c>
      <c r="J530" s="1">
        <v>1</v>
      </c>
      <c r="K530" s="1">
        <v>0.02</v>
      </c>
    </row>
    <row r="531" spans="1:11" x14ac:dyDescent="0.3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>
        <v>0</v>
      </c>
      <c r="H531" s="1">
        <v>1</v>
      </c>
      <c r="I531" s="1">
        <v>1</v>
      </c>
      <c r="J531" s="1">
        <v>1</v>
      </c>
      <c r="K531" s="1">
        <v>0.02</v>
      </c>
    </row>
    <row r="532" spans="1:11" x14ac:dyDescent="0.3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>
        <v>0</v>
      </c>
      <c r="H532" s="1">
        <v>1</v>
      </c>
      <c r="I532" s="1">
        <v>1</v>
      </c>
      <c r="J532" s="1">
        <v>1</v>
      </c>
      <c r="K532" s="1">
        <v>0.02</v>
      </c>
    </row>
    <row r="533" spans="1:11" x14ac:dyDescent="0.3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>
        <v>0</v>
      </c>
      <c r="H533" s="1">
        <v>1</v>
      </c>
      <c r="I533" s="1">
        <v>1</v>
      </c>
      <c r="J533" s="1">
        <v>1</v>
      </c>
      <c r="K533" s="1">
        <v>0.02</v>
      </c>
    </row>
    <row r="534" spans="1:11" x14ac:dyDescent="0.3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>
        <v>0</v>
      </c>
      <c r="H534" s="1">
        <v>1</v>
      </c>
      <c r="I534" s="1">
        <v>1</v>
      </c>
      <c r="J534" s="1">
        <v>1</v>
      </c>
      <c r="K534" s="1">
        <v>0.04</v>
      </c>
    </row>
    <row r="535" spans="1:11" x14ac:dyDescent="0.3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>
        <v>0</v>
      </c>
      <c r="H535" s="1">
        <v>1</v>
      </c>
      <c r="I535" s="1">
        <v>1</v>
      </c>
      <c r="J535" s="1">
        <v>1</v>
      </c>
      <c r="K535" s="1">
        <v>0.06</v>
      </c>
    </row>
    <row r="536" spans="1:11" x14ac:dyDescent="0.3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>
        <v>0</v>
      </c>
      <c r="H536" s="1">
        <v>1</v>
      </c>
      <c r="I536" s="1">
        <v>1</v>
      </c>
      <c r="J536" s="1">
        <v>1</v>
      </c>
      <c r="K536" s="1">
        <v>0.1</v>
      </c>
    </row>
    <row r="537" spans="1:11" x14ac:dyDescent="0.3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>
        <v>0</v>
      </c>
      <c r="H537" s="1">
        <v>1</v>
      </c>
      <c r="I537" s="1">
        <v>1</v>
      </c>
      <c r="J537" s="1">
        <v>1</v>
      </c>
      <c r="K537" s="1">
        <v>0.1</v>
      </c>
    </row>
    <row r="538" spans="1:11" x14ac:dyDescent="0.3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>
        <v>0</v>
      </c>
      <c r="H538" s="1">
        <v>1</v>
      </c>
      <c r="I538" s="1">
        <v>1</v>
      </c>
      <c r="J538" s="1">
        <v>2</v>
      </c>
      <c r="K538" s="1">
        <v>0.12</v>
      </c>
    </row>
    <row r="539" spans="1:11" x14ac:dyDescent="0.3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>
        <v>0</v>
      </c>
      <c r="H539" s="1">
        <v>1</v>
      </c>
      <c r="I539" s="1">
        <v>1</v>
      </c>
      <c r="J539" s="1">
        <v>2</v>
      </c>
      <c r="K539" s="1">
        <v>0.14000000000000001</v>
      </c>
    </row>
    <row r="540" spans="1:11" x14ac:dyDescent="0.3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>
        <v>0</v>
      </c>
      <c r="H540" s="1">
        <v>1</v>
      </c>
      <c r="I540" s="1">
        <v>1</v>
      </c>
      <c r="J540" s="1">
        <v>2</v>
      </c>
      <c r="K540" s="1">
        <v>0.14000000000000001</v>
      </c>
    </row>
    <row r="541" spans="1:11" x14ac:dyDescent="0.3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>
        <v>0</v>
      </c>
      <c r="H541" s="1">
        <v>1</v>
      </c>
      <c r="I541" s="1">
        <v>1</v>
      </c>
      <c r="J541" s="1">
        <v>1</v>
      </c>
      <c r="K541" s="1">
        <v>0.16</v>
      </c>
    </row>
    <row r="542" spans="1:11" x14ac:dyDescent="0.3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>
        <v>0</v>
      </c>
      <c r="H542" s="1">
        <v>1</v>
      </c>
      <c r="I542" s="1">
        <v>1</v>
      </c>
      <c r="J542" s="1">
        <v>1</v>
      </c>
      <c r="K542" s="1">
        <v>0.16</v>
      </c>
    </row>
    <row r="543" spans="1:11" x14ac:dyDescent="0.3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>
        <v>0</v>
      </c>
      <c r="H543" s="1">
        <v>1</v>
      </c>
      <c r="I543" s="1">
        <v>1</v>
      </c>
      <c r="J543" s="1">
        <v>1</v>
      </c>
      <c r="K543" s="1">
        <v>0.14000000000000001</v>
      </c>
    </row>
    <row r="544" spans="1:11" x14ac:dyDescent="0.3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>
        <v>0</v>
      </c>
      <c r="H544" s="1">
        <v>1</v>
      </c>
      <c r="I544" s="1">
        <v>1</v>
      </c>
      <c r="J544" s="1">
        <v>1</v>
      </c>
      <c r="K544" s="1">
        <v>0.14000000000000001</v>
      </c>
    </row>
    <row r="545" spans="1:11" x14ac:dyDescent="0.3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>
        <v>0</v>
      </c>
      <c r="H545" s="1">
        <v>1</v>
      </c>
      <c r="I545" s="1">
        <v>1</v>
      </c>
      <c r="J545" s="1">
        <v>1</v>
      </c>
      <c r="K545" s="1">
        <v>0.14000000000000001</v>
      </c>
    </row>
    <row r="546" spans="1:11" x14ac:dyDescent="0.3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>
        <v>0</v>
      </c>
      <c r="H546" s="1">
        <v>1</v>
      </c>
      <c r="I546" s="1">
        <v>1</v>
      </c>
      <c r="J546" s="1">
        <v>1</v>
      </c>
      <c r="K546" s="1">
        <v>0.14000000000000001</v>
      </c>
    </row>
    <row r="547" spans="1:11" x14ac:dyDescent="0.3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>
        <v>0</v>
      </c>
      <c r="H547" s="1">
        <v>1</v>
      </c>
      <c r="I547" s="1">
        <v>1</v>
      </c>
      <c r="J547" s="1">
        <v>1</v>
      </c>
      <c r="K547" s="1">
        <v>0.14000000000000001</v>
      </c>
    </row>
    <row r="548" spans="1:11" x14ac:dyDescent="0.3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>
        <v>0</v>
      </c>
      <c r="H548" s="1">
        <v>1</v>
      </c>
      <c r="I548" s="1">
        <v>1</v>
      </c>
      <c r="J548" s="1">
        <v>2</v>
      </c>
      <c r="K548" s="1">
        <v>0.14000000000000001</v>
      </c>
    </row>
    <row r="549" spans="1:11" x14ac:dyDescent="0.3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>
        <v>0</v>
      </c>
      <c r="H549" s="1">
        <v>1</v>
      </c>
      <c r="I549" s="1">
        <v>1</v>
      </c>
      <c r="J549" s="1">
        <v>2</v>
      </c>
      <c r="K549" s="1">
        <v>0.16</v>
      </c>
    </row>
    <row r="550" spans="1:11" x14ac:dyDescent="0.3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>
        <v>0</v>
      </c>
      <c r="H550" s="1">
        <v>2</v>
      </c>
      <c r="I550" s="1">
        <v>1</v>
      </c>
      <c r="J550" s="1">
        <v>2</v>
      </c>
      <c r="K550" s="1">
        <v>0.16</v>
      </c>
    </row>
    <row r="551" spans="1:11" x14ac:dyDescent="0.3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>
        <v>0</v>
      </c>
      <c r="H551" s="1">
        <v>2</v>
      </c>
      <c r="I551" s="1">
        <v>1</v>
      </c>
      <c r="J551" s="1">
        <v>2</v>
      </c>
      <c r="K551" s="1">
        <v>0.16</v>
      </c>
    </row>
    <row r="552" spans="1:11" x14ac:dyDescent="0.3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>
        <v>0</v>
      </c>
      <c r="H552" s="1">
        <v>2</v>
      </c>
      <c r="I552" s="1">
        <v>1</v>
      </c>
      <c r="J552" s="1">
        <v>1</v>
      </c>
      <c r="K552" s="1">
        <v>0.16</v>
      </c>
    </row>
    <row r="553" spans="1:11" x14ac:dyDescent="0.3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>
        <v>0</v>
      </c>
      <c r="H553" s="1">
        <v>2</v>
      </c>
      <c r="I553" s="1">
        <v>1</v>
      </c>
      <c r="J553" s="1">
        <v>1</v>
      </c>
      <c r="K553" s="1">
        <v>0.14000000000000001</v>
      </c>
    </row>
    <row r="554" spans="1:11" x14ac:dyDescent="0.3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>
        <v>0</v>
      </c>
      <c r="H554" s="1">
        <v>2</v>
      </c>
      <c r="I554" s="1">
        <v>1</v>
      </c>
      <c r="J554" s="1">
        <v>1</v>
      </c>
      <c r="K554" s="1">
        <v>0.14000000000000001</v>
      </c>
    </row>
    <row r="555" spans="1:11" x14ac:dyDescent="0.3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>
        <v>0</v>
      </c>
      <c r="H555" s="1">
        <v>2</v>
      </c>
      <c r="I555" s="1">
        <v>1</v>
      </c>
      <c r="J555" s="1">
        <v>1</v>
      </c>
      <c r="K555" s="1">
        <v>0.16</v>
      </c>
    </row>
    <row r="556" spans="1:11" x14ac:dyDescent="0.3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>
        <v>0</v>
      </c>
      <c r="H556" s="1">
        <v>2</v>
      </c>
      <c r="I556" s="1">
        <v>1</v>
      </c>
      <c r="J556" s="1">
        <v>1</v>
      </c>
      <c r="K556" s="1">
        <v>0.16</v>
      </c>
    </row>
    <row r="557" spans="1:11" x14ac:dyDescent="0.3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>
        <v>0</v>
      </c>
      <c r="H557" s="1">
        <v>2</v>
      </c>
      <c r="I557" s="1">
        <v>1</v>
      </c>
      <c r="J557" s="1">
        <v>2</v>
      </c>
      <c r="K557" s="1">
        <v>0.16</v>
      </c>
    </row>
    <row r="558" spans="1:11" x14ac:dyDescent="0.3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>
        <v>0</v>
      </c>
      <c r="H558" s="1">
        <v>2</v>
      </c>
      <c r="I558" s="1">
        <v>1</v>
      </c>
      <c r="J558" s="1">
        <v>2</v>
      </c>
      <c r="K558" s="1">
        <v>0.2</v>
      </c>
    </row>
    <row r="559" spans="1:11" x14ac:dyDescent="0.3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>
        <v>0</v>
      </c>
      <c r="H559" s="1">
        <v>2</v>
      </c>
      <c r="I559" s="1">
        <v>1</v>
      </c>
      <c r="J559" s="1">
        <v>2</v>
      </c>
      <c r="K559" s="1">
        <v>0.22</v>
      </c>
    </row>
    <row r="560" spans="1:11" x14ac:dyDescent="0.3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>
        <v>0</v>
      </c>
      <c r="H560" s="1">
        <v>2</v>
      </c>
      <c r="I560" s="1">
        <v>1</v>
      </c>
      <c r="J560" s="1">
        <v>2</v>
      </c>
      <c r="K560" s="1">
        <v>0.24</v>
      </c>
    </row>
    <row r="561" spans="1:11" x14ac:dyDescent="0.3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>
        <v>0</v>
      </c>
      <c r="H561" s="1">
        <v>2</v>
      </c>
      <c r="I561" s="1">
        <v>1</v>
      </c>
      <c r="J561" s="1">
        <v>2</v>
      </c>
      <c r="K561" s="1">
        <v>0.26</v>
      </c>
    </row>
    <row r="562" spans="1:11" x14ac:dyDescent="0.3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>
        <v>0</v>
      </c>
      <c r="H562" s="1">
        <v>2</v>
      </c>
      <c r="I562" s="1">
        <v>1</v>
      </c>
      <c r="J562" s="1">
        <v>2</v>
      </c>
      <c r="K562" s="1">
        <v>0.26</v>
      </c>
    </row>
    <row r="563" spans="1:11" x14ac:dyDescent="0.3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>
        <v>0</v>
      </c>
      <c r="H563" s="1">
        <v>2</v>
      </c>
      <c r="I563" s="1">
        <v>1</v>
      </c>
      <c r="J563" s="1">
        <v>2</v>
      </c>
      <c r="K563" s="1">
        <v>0.3</v>
      </c>
    </row>
    <row r="564" spans="1:11" x14ac:dyDescent="0.3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>
        <v>0</v>
      </c>
      <c r="H564" s="1">
        <v>2</v>
      </c>
      <c r="I564" s="1">
        <v>1</v>
      </c>
      <c r="J564" s="1">
        <v>2</v>
      </c>
      <c r="K564" s="1">
        <v>0.32</v>
      </c>
    </row>
    <row r="565" spans="1:11" x14ac:dyDescent="0.3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>
        <v>0</v>
      </c>
      <c r="H565" s="1">
        <v>2</v>
      </c>
      <c r="I565" s="1">
        <v>1</v>
      </c>
      <c r="J565" s="1">
        <v>2</v>
      </c>
      <c r="K565" s="1">
        <v>0.32</v>
      </c>
    </row>
    <row r="566" spans="1:11" x14ac:dyDescent="0.3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>
        <v>0</v>
      </c>
      <c r="H566" s="1">
        <v>2</v>
      </c>
      <c r="I566" s="1">
        <v>1</v>
      </c>
      <c r="J566" s="1">
        <v>1</v>
      </c>
      <c r="K566" s="1">
        <v>0.3</v>
      </c>
    </row>
    <row r="567" spans="1:11" x14ac:dyDescent="0.3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>
        <v>0</v>
      </c>
      <c r="H567" s="1">
        <v>2</v>
      </c>
      <c r="I567" s="1">
        <v>1</v>
      </c>
      <c r="J567" s="1">
        <v>2</v>
      </c>
      <c r="K567" s="1">
        <v>0.3</v>
      </c>
    </row>
    <row r="568" spans="1:11" x14ac:dyDescent="0.3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>
        <v>0</v>
      </c>
      <c r="H568" s="1">
        <v>2</v>
      </c>
      <c r="I568" s="1">
        <v>1</v>
      </c>
      <c r="J568" s="1">
        <v>2</v>
      </c>
      <c r="K568" s="1">
        <v>0.26</v>
      </c>
    </row>
    <row r="569" spans="1:11" x14ac:dyDescent="0.3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>
        <v>0</v>
      </c>
      <c r="H569" s="1">
        <v>2</v>
      </c>
      <c r="I569" s="1">
        <v>1</v>
      </c>
      <c r="J569" s="1">
        <v>1</v>
      </c>
      <c r="K569" s="1">
        <v>0.24</v>
      </c>
    </row>
    <row r="570" spans="1:11" x14ac:dyDescent="0.3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>
        <v>0</v>
      </c>
      <c r="H570" s="1">
        <v>2</v>
      </c>
      <c r="I570" s="1">
        <v>1</v>
      </c>
      <c r="J570" s="1">
        <v>1</v>
      </c>
      <c r="K570" s="1">
        <v>0.24</v>
      </c>
    </row>
    <row r="571" spans="1:11" x14ac:dyDescent="0.3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>
        <v>0</v>
      </c>
      <c r="H571" s="1">
        <v>2</v>
      </c>
      <c r="I571" s="1">
        <v>1</v>
      </c>
      <c r="J571" s="1">
        <v>1</v>
      </c>
      <c r="K571" s="1">
        <v>0.22</v>
      </c>
    </row>
    <row r="572" spans="1:11" x14ac:dyDescent="0.3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>
        <v>0</v>
      </c>
      <c r="H572" s="1">
        <v>2</v>
      </c>
      <c r="I572" s="1">
        <v>1</v>
      </c>
      <c r="J572" s="1">
        <v>2</v>
      </c>
      <c r="K572" s="1">
        <v>0.22</v>
      </c>
    </row>
    <row r="573" spans="1:11" x14ac:dyDescent="0.3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>
        <v>0</v>
      </c>
      <c r="H573" s="1">
        <v>3</v>
      </c>
      <c r="I573" s="1">
        <v>1</v>
      </c>
      <c r="J573" s="1">
        <v>2</v>
      </c>
      <c r="K573" s="1">
        <v>0.22</v>
      </c>
    </row>
    <row r="574" spans="1:11" x14ac:dyDescent="0.3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>
        <v>0</v>
      </c>
      <c r="H574" s="1">
        <v>3</v>
      </c>
      <c r="I574" s="1">
        <v>1</v>
      </c>
      <c r="J574" s="1">
        <v>2</v>
      </c>
      <c r="K574" s="1">
        <v>0.24</v>
      </c>
    </row>
    <row r="575" spans="1:11" x14ac:dyDescent="0.3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>
        <v>0</v>
      </c>
      <c r="H575" s="1">
        <v>3</v>
      </c>
      <c r="I575" s="1">
        <v>1</v>
      </c>
      <c r="J575" s="1">
        <v>3</v>
      </c>
      <c r="K575" s="1">
        <v>0.22</v>
      </c>
    </row>
    <row r="576" spans="1:11" x14ac:dyDescent="0.3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>
        <v>0</v>
      </c>
      <c r="H576" s="1">
        <v>3</v>
      </c>
      <c r="I576" s="1">
        <v>1</v>
      </c>
      <c r="J576" s="1">
        <v>3</v>
      </c>
      <c r="K576" s="1">
        <v>0.2</v>
      </c>
    </row>
    <row r="577" spans="1:11" x14ac:dyDescent="0.3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>
        <v>0</v>
      </c>
      <c r="H577" s="1">
        <v>3</v>
      </c>
      <c r="I577" s="1">
        <v>1</v>
      </c>
      <c r="J577" s="1">
        <v>3</v>
      </c>
      <c r="K577" s="1">
        <v>0.2</v>
      </c>
    </row>
    <row r="578" spans="1:11" x14ac:dyDescent="0.3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>
        <v>0</v>
      </c>
      <c r="H578" s="1">
        <v>3</v>
      </c>
      <c r="I578" s="1">
        <v>1</v>
      </c>
      <c r="J578" s="1">
        <v>3</v>
      </c>
      <c r="K578" s="1">
        <v>0.22</v>
      </c>
    </row>
    <row r="579" spans="1:11" x14ac:dyDescent="0.3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>
        <v>0</v>
      </c>
      <c r="H579" s="1">
        <v>3</v>
      </c>
      <c r="I579" s="1">
        <v>1</v>
      </c>
      <c r="J579" s="1">
        <v>3</v>
      </c>
      <c r="K579" s="1">
        <v>0.22</v>
      </c>
    </row>
    <row r="580" spans="1:11" x14ac:dyDescent="0.3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>
        <v>0</v>
      </c>
      <c r="H580" s="1">
        <v>3</v>
      </c>
      <c r="I580" s="1">
        <v>1</v>
      </c>
      <c r="J580" s="1">
        <v>3</v>
      </c>
      <c r="K580" s="1">
        <v>0.22</v>
      </c>
    </row>
    <row r="581" spans="1:11" x14ac:dyDescent="0.3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>
        <v>0</v>
      </c>
      <c r="H581" s="1">
        <v>3</v>
      </c>
      <c r="I581" s="1">
        <v>1</v>
      </c>
      <c r="J581" s="1">
        <v>3</v>
      </c>
      <c r="K581" s="1">
        <v>0.22</v>
      </c>
    </row>
    <row r="582" spans="1:11" x14ac:dyDescent="0.3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>
        <v>0</v>
      </c>
      <c r="H582" s="1">
        <v>3</v>
      </c>
      <c r="I582" s="1">
        <v>1</v>
      </c>
      <c r="J582" s="1">
        <v>3</v>
      </c>
      <c r="K582" s="1">
        <v>0.22</v>
      </c>
    </row>
    <row r="583" spans="1:11" x14ac:dyDescent="0.3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>
        <v>0</v>
      </c>
      <c r="H583" s="1">
        <v>3</v>
      </c>
      <c r="I583" s="1">
        <v>1</v>
      </c>
      <c r="J583" s="1">
        <v>3</v>
      </c>
      <c r="K583" s="1">
        <v>0.22</v>
      </c>
    </row>
    <row r="584" spans="1:11" x14ac:dyDescent="0.3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>
        <v>0</v>
      </c>
      <c r="H584" s="1">
        <v>3</v>
      </c>
      <c r="I584" s="1">
        <v>1</v>
      </c>
      <c r="J584" s="1">
        <v>3</v>
      </c>
      <c r="K584" s="1">
        <v>0.22</v>
      </c>
    </row>
    <row r="585" spans="1:11" x14ac:dyDescent="0.3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>
        <v>0</v>
      </c>
      <c r="H585" s="1">
        <v>3</v>
      </c>
      <c r="I585" s="1">
        <v>1</v>
      </c>
      <c r="J585" s="1">
        <v>3</v>
      </c>
      <c r="K585" s="1">
        <v>0.22</v>
      </c>
    </row>
    <row r="586" spans="1:11" x14ac:dyDescent="0.3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>
        <v>0</v>
      </c>
      <c r="H586" s="1">
        <v>3</v>
      </c>
      <c r="I586" s="1">
        <v>1</v>
      </c>
      <c r="J586" s="1">
        <v>3</v>
      </c>
      <c r="K586" s="1">
        <v>0.22</v>
      </c>
    </row>
    <row r="587" spans="1:11" x14ac:dyDescent="0.3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>
        <v>0</v>
      </c>
      <c r="H587" s="1">
        <v>3</v>
      </c>
      <c r="I587" s="1">
        <v>1</v>
      </c>
      <c r="J587" s="1">
        <v>4</v>
      </c>
      <c r="K587" s="1">
        <v>0.22</v>
      </c>
    </row>
    <row r="588" spans="1:11" x14ac:dyDescent="0.3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>
        <v>0</v>
      </c>
      <c r="H588" s="1">
        <v>3</v>
      </c>
      <c r="I588" s="1">
        <v>1</v>
      </c>
      <c r="J588" s="1">
        <v>3</v>
      </c>
      <c r="K588" s="1">
        <v>0.2</v>
      </c>
    </row>
    <row r="589" spans="1:11" x14ac:dyDescent="0.3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>
        <v>0</v>
      </c>
      <c r="H589" s="1">
        <v>4</v>
      </c>
      <c r="I589" s="1">
        <v>1</v>
      </c>
      <c r="J589" s="1">
        <v>1</v>
      </c>
      <c r="K589" s="1">
        <v>0.22</v>
      </c>
    </row>
    <row r="590" spans="1:11" x14ac:dyDescent="0.3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>
        <v>0</v>
      </c>
      <c r="H590" s="1">
        <v>4</v>
      </c>
      <c r="I590" s="1">
        <v>1</v>
      </c>
      <c r="J590" s="1">
        <v>1</v>
      </c>
      <c r="K590" s="1">
        <v>0.22</v>
      </c>
    </row>
    <row r="591" spans="1:11" x14ac:dyDescent="0.3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>
        <v>0</v>
      </c>
      <c r="H591" s="1">
        <v>4</v>
      </c>
      <c r="I591" s="1">
        <v>1</v>
      </c>
      <c r="J591" s="1">
        <v>1</v>
      </c>
      <c r="K591" s="1">
        <v>0.2</v>
      </c>
    </row>
    <row r="592" spans="1:11" x14ac:dyDescent="0.3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>
        <v>0</v>
      </c>
      <c r="H592" s="1">
        <v>4</v>
      </c>
      <c r="I592" s="1">
        <v>1</v>
      </c>
      <c r="J592" s="1">
        <v>1</v>
      </c>
      <c r="K592" s="1">
        <v>0.2</v>
      </c>
    </row>
    <row r="593" spans="1:11" x14ac:dyDescent="0.3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>
        <v>0</v>
      </c>
      <c r="H593" s="1">
        <v>4</v>
      </c>
      <c r="I593" s="1">
        <v>1</v>
      </c>
      <c r="J593" s="1">
        <v>1</v>
      </c>
      <c r="K593" s="1">
        <v>0.18</v>
      </c>
    </row>
    <row r="594" spans="1:11" x14ac:dyDescent="0.3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>
        <v>0</v>
      </c>
      <c r="H594" s="1">
        <v>4</v>
      </c>
      <c r="I594" s="1">
        <v>1</v>
      </c>
      <c r="J594" s="1">
        <v>1</v>
      </c>
      <c r="K594" s="1">
        <v>0.18</v>
      </c>
    </row>
    <row r="595" spans="1:11" x14ac:dyDescent="0.3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>
        <v>0</v>
      </c>
      <c r="H595" s="1">
        <v>4</v>
      </c>
      <c r="I595" s="1">
        <v>1</v>
      </c>
      <c r="J595" s="1">
        <v>1</v>
      </c>
      <c r="K595" s="1">
        <v>0.18</v>
      </c>
    </row>
    <row r="596" spans="1:11" x14ac:dyDescent="0.3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>
        <v>0</v>
      </c>
      <c r="H596" s="1">
        <v>4</v>
      </c>
      <c r="I596" s="1">
        <v>1</v>
      </c>
      <c r="J596" s="1">
        <v>1</v>
      </c>
      <c r="K596" s="1">
        <v>0.18</v>
      </c>
    </row>
    <row r="597" spans="1:11" x14ac:dyDescent="0.3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>
        <v>0</v>
      </c>
      <c r="H597" s="1">
        <v>5</v>
      </c>
      <c r="I597" s="1">
        <v>1</v>
      </c>
      <c r="J597" s="1">
        <v>2</v>
      </c>
      <c r="K597" s="1">
        <v>0.2</v>
      </c>
    </row>
    <row r="598" spans="1:11" x14ac:dyDescent="0.3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>
        <v>0</v>
      </c>
      <c r="H598" s="1">
        <v>5</v>
      </c>
      <c r="I598" s="1">
        <v>1</v>
      </c>
      <c r="J598" s="1">
        <v>2</v>
      </c>
      <c r="K598" s="1">
        <v>0.2</v>
      </c>
    </row>
    <row r="599" spans="1:11" x14ac:dyDescent="0.3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>
        <v>0</v>
      </c>
      <c r="H599" s="1">
        <v>5</v>
      </c>
      <c r="I599" s="1">
        <v>1</v>
      </c>
      <c r="J599" s="1">
        <v>2</v>
      </c>
      <c r="K599" s="1">
        <v>0.2</v>
      </c>
    </row>
    <row r="600" spans="1:11" x14ac:dyDescent="0.3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>
        <v>0</v>
      </c>
      <c r="H600" s="1">
        <v>5</v>
      </c>
      <c r="I600" s="1">
        <v>1</v>
      </c>
      <c r="J600" s="1">
        <v>2</v>
      </c>
      <c r="K600" s="1">
        <v>0.2</v>
      </c>
    </row>
    <row r="601" spans="1:11" x14ac:dyDescent="0.3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>
        <v>0</v>
      </c>
      <c r="H601" s="1">
        <v>5</v>
      </c>
      <c r="I601" s="1">
        <v>1</v>
      </c>
      <c r="J601" s="1">
        <v>2</v>
      </c>
      <c r="K601" s="1">
        <v>0.18</v>
      </c>
    </row>
    <row r="602" spans="1:11" x14ac:dyDescent="0.3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>
        <v>0</v>
      </c>
      <c r="H602" s="1">
        <v>5</v>
      </c>
      <c r="I602" s="1">
        <v>1</v>
      </c>
      <c r="J602" s="1">
        <v>2</v>
      </c>
      <c r="K602" s="1">
        <v>0.18</v>
      </c>
    </row>
    <row r="603" spans="1:11" x14ac:dyDescent="0.3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>
        <v>0</v>
      </c>
      <c r="H603" s="1">
        <v>5</v>
      </c>
      <c r="I603" s="1">
        <v>1</v>
      </c>
      <c r="J603" s="1">
        <v>2</v>
      </c>
      <c r="K603" s="1">
        <v>0.16</v>
      </c>
    </row>
    <row r="604" spans="1:11" x14ac:dyDescent="0.3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>
        <v>0</v>
      </c>
      <c r="H604" s="1">
        <v>5</v>
      </c>
      <c r="I604" s="1">
        <v>1</v>
      </c>
      <c r="J604" s="1">
        <v>2</v>
      </c>
      <c r="K604" s="1">
        <v>0.16</v>
      </c>
    </row>
    <row r="605" spans="1:11" x14ac:dyDescent="0.3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>
        <v>0</v>
      </c>
      <c r="H605" s="1">
        <v>5</v>
      </c>
      <c r="I605" s="1">
        <v>1</v>
      </c>
      <c r="J605" s="1">
        <v>3</v>
      </c>
      <c r="K605" s="1">
        <v>0.18</v>
      </c>
    </row>
    <row r="606" spans="1:11" x14ac:dyDescent="0.3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>
        <v>0</v>
      </c>
      <c r="H606" s="1">
        <v>5</v>
      </c>
      <c r="I606" s="1">
        <v>1</v>
      </c>
      <c r="J606" s="1">
        <v>3</v>
      </c>
      <c r="K606" s="1">
        <v>0.18</v>
      </c>
    </row>
    <row r="607" spans="1:11" x14ac:dyDescent="0.3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>
        <v>0</v>
      </c>
      <c r="H607" s="1">
        <v>5</v>
      </c>
      <c r="I607" s="1">
        <v>1</v>
      </c>
      <c r="J607" s="1">
        <v>3</v>
      </c>
      <c r="K607" s="1">
        <v>0.18</v>
      </c>
    </row>
    <row r="608" spans="1:11" x14ac:dyDescent="0.3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>
        <v>0</v>
      </c>
      <c r="H608" s="1">
        <v>5</v>
      </c>
      <c r="I608" s="1">
        <v>1</v>
      </c>
      <c r="J608" s="1">
        <v>3</v>
      </c>
      <c r="K608" s="1">
        <v>0.18</v>
      </c>
    </row>
    <row r="609" spans="1:11" x14ac:dyDescent="0.3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>
        <v>0</v>
      </c>
      <c r="H609" s="1">
        <v>5</v>
      </c>
      <c r="I609" s="1">
        <v>1</v>
      </c>
      <c r="J609" s="1">
        <v>3</v>
      </c>
      <c r="K609" s="1">
        <v>0.18</v>
      </c>
    </row>
    <row r="610" spans="1:11" x14ac:dyDescent="0.3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>
        <v>0</v>
      </c>
      <c r="H610" s="1">
        <v>5</v>
      </c>
      <c r="I610" s="1">
        <v>1</v>
      </c>
      <c r="J610" s="1">
        <v>3</v>
      </c>
      <c r="K610" s="1">
        <v>0.22</v>
      </c>
    </row>
    <row r="611" spans="1:11" x14ac:dyDescent="0.3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>
        <v>0</v>
      </c>
      <c r="H611" s="1">
        <v>5</v>
      </c>
      <c r="I611" s="1">
        <v>1</v>
      </c>
      <c r="J611" s="1">
        <v>2</v>
      </c>
      <c r="K611" s="1">
        <v>0.2</v>
      </c>
    </row>
  </sheetData>
  <conditionalFormatting sqref="H1:H1048576">
    <cfRule type="cellIs" dxfId="3" priority="1" operator="greaterThan">
      <formula>3</formula>
    </cfRule>
  </conditionalFormatting>
  <conditionalFormatting sqref="N15">
    <cfRule type="cellIs" dxfId="2" priority="2" operator="greaterThan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0844-33CE-4708-9B44-5D54D8D21582}">
  <dimension ref="A1:I611"/>
  <sheetViews>
    <sheetView workbookViewId="0">
      <selection activeCell="I16" sqref="I16"/>
    </sheetView>
  </sheetViews>
  <sheetFormatPr defaultRowHeight="14.4" x14ac:dyDescent="0.3"/>
  <cols>
    <col min="1" max="1" width="9" bestFit="1" customWidth="1"/>
    <col min="2" max="2" width="8.6640625" bestFit="1" customWidth="1"/>
    <col min="3" max="3" width="7.109375" bestFit="1" customWidth="1"/>
    <col min="4" max="4" width="12.33203125" bestFit="1" customWidth="1"/>
    <col min="5" max="5" width="8.44140625" bestFit="1" customWidth="1"/>
    <col min="6" max="6" width="11.5546875" bestFit="1" customWidth="1"/>
    <col min="7" max="7" width="5.88671875" bestFit="1" customWidth="1"/>
    <col min="8" max="9" width="16.88671875" bestFit="1" customWidth="1"/>
  </cols>
  <sheetData>
    <row r="1" spans="1:9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/>
    </row>
    <row r="2" spans="1:9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/>
    </row>
    <row r="3" spans="1:9" x14ac:dyDescent="0.3">
      <c r="A3" s="1" t="s">
        <v>26</v>
      </c>
      <c r="B3" s="1" t="s">
        <v>27</v>
      </c>
      <c r="C3" s="1" t="s">
        <v>28</v>
      </c>
      <c r="D3" s="1" t="s">
        <v>21</v>
      </c>
      <c r="E3" s="1" t="s">
        <v>29</v>
      </c>
      <c r="F3" s="1" t="s">
        <v>30</v>
      </c>
      <c r="G3" s="1" t="s">
        <v>31</v>
      </c>
      <c r="H3" s="1" t="s">
        <v>25</v>
      </c>
      <c r="I3" s="1"/>
    </row>
    <row r="4" spans="1:9" x14ac:dyDescent="0.3">
      <c r="A4" s="1" t="s">
        <v>22</v>
      </c>
      <c r="B4" s="1" t="s">
        <v>27</v>
      </c>
      <c r="C4" s="1" t="s">
        <v>28</v>
      </c>
      <c r="D4" s="1" t="s">
        <v>21</v>
      </c>
      <c r="E4" s="1" t="s">
        <v>32</v>
      </c>
      <c r="F4" s="1" t="s">
        <v>33</v>
      </c>
      <c r="G4" s="1" t="s">
        <v>30</v>
      </c>
      <c r="H4" s="1" t="s">
        <v>25</v>
      </c>
      <c r="I4" s="1"/>
    </row>
    <row r="5" spans="1:9" x14ac:dyDescent="0.3">
      <c r="A5" s="1" t="s">
        <v>34</v>
      </c>
      <c r="B5" s="1" t="s">
        <v>19</v>
      </c>
      <c r="C5" s="1" t="s">
        <v>35</v>
      </c>
      <c r="D5" s="1" t="s">
        <v>21</v>
      </c>
      <c r="E5" s="1" t="s">
        <v>22</v>
      </c>
      <c r="F5" s="1" t="s">
        <v>36</v>
      </c>
      <c r="G5" s="1" t="s">
        <v>23</v>
      </c>
      <c r="H5" s="1" t="s">
        <v>25</v>
      </c>
      <c r="I5" s="1"/>
    </row>
    <row r="6" spans="1:9" x14ac:dyDescent="0.3">
      <c r="A6" s="1" t="s">
        <v>32</v>
      </c>
      <c r="B6" s="1" t="s">
        <v>19</v>
      </c>
      <c r="C6" s="1" t="s">
        <v>35</v>
      </c>
      <c r="D6" s="1" t="s">
        <v>21</v>
      </c>
      <c r="E6" s="1" t="s">
        <v>37</v>
      </c>
      <c r="F6" s="1" t="s">
        <v>18</v>
      </c>
      <c r="G6" s="1" t="s">
        <v>18</v>
      </c>
      <c r="H6" s="1" t="s">
        <v>25</v>
      </c>
      <c r="I6" s="1"/>
    </row>
    <row r="7" spans="1:9" x14ac:dyDescent="0.3">
      <c r="A7" s="1" t="s">
        <v>38</v>
      </c>
      <c r="B7" s="1" t="s">
        <v>39</v>
      </c>
      <c r="C7" s="1" t="s">
        <v>35</v>
      </c>
      <c r="D7" s="1" t="s">
        <v>40</v>
      </c>
      <c r="E7" s="1" t="s">
        <v>37</v>
      </c>
      <c r="F7" s="1" t="s">
        <v>18</v>
      </c>
      <c r="G7" s="1" t="s">
        <v>18</v>
      </c>
      <c r="H7" s="1" t="s">
        <v>25</v>
      </c>
      <c r="I7" s="1"/>
    </row>
    <row r="8" spans="1:9" x14ac:dyDescent="0.3">
      <c r="A8" s="1" t="s">
        <v>41</v>
      </c>
      <c r="B8" s="1" t="s">
        <v>27</v>
      </c>
      <c r="C8" s="1" t="s">
        <v>28</v>
      </c>
      <c r="D8" s="1" t="s">
        <v>21</v>
      </c>
      <c r="E8" s="1" t="s">
        <v>26</v>
      </c>
      <c r="F8" s="1" t="s">
        <v>37</v>
      </c>
      <c r="G8" s="1" t="s">
        <v>26</v>
      </c>
      <c r="H8" s="1" t="s">
        <v>25</v>
      </c>
      <c r="I8" s="1"/>
    </row>
    <row r="9" spans="1:9" x14ac:dyDescent="0.3">
      <c r="A9" s="1" t="s">
        <v>29</v>
      </c>
      <c r="B9" s="1" t="s">
        <v>39</v>
      </c>
      <c r="C9" s="1" t="s">
        <v>42</v>
      </c>
      <c r="D9" s="1" t="s">
        <v>21</v>
      </c>
      <c r="E9" s="1" t="s">
        <v>18</v>
      </c>
      <c r="F9" s="1" t="s">
        <v>26</v>
      </c>
      <c r="G9" s="1" t="s">
        <v>22</v>
      </c>
      <c r="H9" s="1" t="s">
        <v>25</v>
      </c>
      <c r="I9" s="1"/>
    </row>
    <row r="10" spans="1:9" x14ac:dyDescent="0.3">
      <c r="A10" s="1" t="s">
        <v>43</v>
      </c>
      <c r="B10" s="1" t="s">
        <v>44</v>
      </c>
      <c r="C10" s="1" t="s">
        <v>35</v>
      </c>
      <c r="D10" s="1" t="s">
        <v>21</v>
      </c>
      <c r="E10" s="1" t="s">
        <v>18</v>
      </c>
      <c r="F10" s="1" t="s">
        <v>41</v>
      </c>
      <c r="G10" s="1" t="s">
        <v>29</v>
      </c>
      <c r="H10" s="1" t="s">
        <v>45</v>
      </c>
      <c r="I10" s="1"/>
    </row>
    <row r="11" spans="1:9" x14ac:dyDescent="0.3">
      <c r="A11" s="1" t="s">
        <v>36</v>
      </c>
      <c r="B11" s="1" t="s">
        <v>46</v>
      </c>
      <c r="C11" s="1" t="s">
        <v>47</v>
      </c>
      <c r="D11" s="1" t="s">
        <v>21</v>
      </c>
      <c r="E11" s="1" t="s">
        <v>29</v>
      </c>
      <c r="F11" s="1" t="s">
        <v>38</v>
      </c>
      <c r="G11" s="1" t="s">
        <v>48</v>
      </c>
      <c r="H11" s="1" t="s">
        <v>25</v>
      </c>
      <c r="I11" s="1"/>
    </row>
    <row r="12" spans="1:9" x14ac:dyDescent="0.3">
      <c r="A12" s="1" t="s">
        <v>49</v>
      </c>
      <c r="B12" s="1" t="s">
        <v>50</v>
      </c>
      <c r="C12" s="1" t="s">
        <v>47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25</v>
      </c>
      <c r="I12" s="1"/>
    </row>
    <row r="13" spans="1:9" x14ac:dyDescent="0.3">
      <c r="A13" s="1" t="s">
        <v>52</v>
      </c>
      <c r="B13" s="1" t="s">
        <v>55</v>
      </c>
      <c r="C13" s="1" t="s">
        <v>20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25</v>
      </c>
      <c r="I13" s="1"/>
    </row>
    <row r="14" spans="1:9" x14ac:dyDescent="0.3">
      <c r="A14" s="1" t="s">
        <v>23</v>
      </c>
      <c r="B14" s="1" t="s">
        <v>60</v>
      </c>
      <c r="C14" s="1" t="s">
        <v>61</v>
      </c>
      <c r="D14" s="1" t="s">
        <v>56</v>
      </c>
      <c r="E14" s="1" t="s">
        <v>62</v>
      </c>
      <c r="F14" s="1" t="s">
        <v>63</v>
      </c>
      <c r="G14" s="1" t="s">
        <v>64</v>
      </c>
      <c r="H14" s="1" t="s">
        <v>25</v>
      </c>
      <c r="I14" s="1"/>
    </row>
    <row r="15" spans="1:9" x14ac:dyDescent="0.3">
      <c r="A15" s="1" t="s">
        <v>48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68</v>
      </c>
      <c r="G15" s="1" t="s">
        <v>69</v>
      </c>
      <c r="H15" s="1" t="s">
        <v>25</v>
      </c>
      <c r="I15" s="1"/>
    </row>
    <row r="16" spans="1:9" x14ac:dyDescent="0.3">
      <c r="A16" s="1" t="s">
        <v>70</v>
      </c>
      <c r="B16" s="1" t="s">
        <v>65</v>
      </c>
      <c r="C16" s="1" t="s">
        <v>66</v>
      </c>
      <c r="D16" s="1" t="s">
        <v>56</v>
      </c>
      <c r="E16" s="1" t="s">
        <v>71</v>
      </c>
      <c r="F16" s="1" t="s">
        <v>72</v>
      </c>
      <c r="G16" s="1" t="s">
        <v>73</v>
      </c>
      <c r="H16" s="1" t="s">
        <v>25</v>
      </c>
      <c r="I16" s="1"/>
    </row>
    <row r="17" spans="1:9" x14ac:dyDescent="0.3">
      <c r="A17" s="1" t="s">
        <v>24</v>
      </c>
      <c r="B17" s="1" t="s">
        <v>74</v>
      </c>
      <c r="C17" s="1" t="s">
        <v>61</v>
      </c>
      <c r="D17" s="1" t="s">
        <v>67</v>
      </c>
      <c r="E17" s="1" t="s">
        <v>31</v>
      </c>
      <c r="F17" s="1" t="s">
        <v>75</v>
      </c>
      <c r="G17" s="1" t="s">
        <v>76</v>
      </c>
      <c r="H17" s="1" t="s">
        <v>25</v>
      </c>
      <c r="I17" s="1"/>
    </row>
    <row r="18" spans="1:9" x14ac:dyDescent="0.3">
      <c r="A18" s="1" t="s">
        <v>77</v>
      </c>
      <c r="B18" s="1" t="s">
        <v>60</v>
      </c>
      <c r="C18" s="1" t="s">
        <v>78</v>
      </c>
      <c r="D18" s="1" t="s">
        <v>67</v>
      </c>
      <c r="E18" s="1" t="s">
        <v>79</v>
      </c>
      <c r="F18" s="1" t="s">
        <v>80</v>
      </c>
      <c r="G18" s="1" t="s">
        <v>81</v>
      </c>
      <c r="H18" s="1" t="s">
        <v>25</v>
      </c>
      <c r="I18" s="1"/>
    </row>
    <row r="19" spans="1:9" x14ac:dyDescent="0.3">
      <c r="A19" s="1" t="s">
        <v>82</v>
      </c>
      <c r="B19" s="1" t="s">
        <v>60</v>
      </c>
      <c r="C19" s="1" t="s">
        <v>78</v>
      </c>
      <c r="D19" s="1" t="s">
        <v>56</v>
      </c>
      <c r="E19" s="1" t="s">
        <v>70</v>
      </c>
      <c r="F19" s="1" t="s">
        <v>80</v>
      </c>
      <c r="G19" s="1" t="s">
        <v>83</v>
      </c>
      <c r="H19" s="1" t="s">
        <v>45</v>
      </c>
      <c r="I19" s="1"/>
    </row>
    <row r="20" spans="1:9" x14ac:dyDescent="0.3">
      <c r="A20" s="1" t="s">
        <v>84</v>
      </c>
      <c r="B20" s="1" t="s">
        <v>60</v>
      </c>
      <c r="C20" s="1" t="s">
        <v>85</v>
      </c>
      <c r="D20" s="1" t="s">
        <v>51</v>
      </c>
      <c r="E20" s="1" t="s">
        <v>43</v>
      </c>
      <c r="F20" s="1" t="s">
        <v>57</v>
      </c>
      <c r="G20" s="1" t="s">
        <v>71</v>
      </c>
      <c r="H20" s="1" t="s">
        <v>25</v>
      </c>
      <c r="I20" s="1"/>
    </row>
    <row r="21" spans="1:9" x14ac:dyDescent="0.3">
      <c r="A21" s="1" t="s">
        <v>86</v>
      </c>
      <c r="B21" s="1" t="s">
        <v>60</v>
      </c>
      <c r="C21" s="1" t="s">
        <v>85</v>
      </c>
      <c r="D21" s="1" t="s">
        <v>51</v>
      </c>
      <c r="E21" s="1" t="s">
        <v>38</v>
      </c>
      <c r="F21" s="1" t="s">
        <v>87</v>
      </c>
      <c r="G21" s="1" t="s">
        <v>88</v>
      </c>
      <c r="H21" s="1" t="s">
        <v>25</v>
      </c>
      <c r="I21" s="1"/>
    </row>
    <row r="22" spans="1:9" x14ac:dyDescent="0.3">
      <c r="A22" s="1" t="s">
        <v>89</v>
      </c>
      <c r="B22" s="1" t="s">
        <v>90</v>
      </c>
      <c r="C22" s="1" t="s">
        <v>91</v>
      </c>
      <c r="D22" s="1" t="s">
        <v>51</v>
      </c>
      <c r="E22" s="1" t="s">
        <v>49</v>
      </c>
      <c r="F22" s="1" t="s">
        <v>92</v>
      </c>
      <c r="G22" s="1" t="s">
        <v>54</v>
      </c>
      <c r="H22" s="1" t="s">
        <v>25</v>
      </c>
      <c r="I22" s="1"/>
    </row>
    <row r="23" spans="1:9" x14ac:dyDescent="0.3">
      <c r="A23" s="1" t="s">
        <v>93</v>
      </c>
      <c r="B23" s="1" t="s">
        <v>90</v>
      </c>
      <c r="C23" s="1" t="s">
        <v>91</v>
      </c>
      <c r="D23" s="1" t="s">
        <v>94</v>
      </c>
      <c r="E23" s="1" t="s">
        <v>22</v>
      </c>
      <c r="F23" s="1" t="s">
        <v>87</v>
      </c>
      <c r="G23" s="1" t="s">
        <v>95</v>
      </c>
      <c r="H23" s="1" t="s">
        <v>25</v>
      </c>
      <c r="I23" s="1"/>
    </row>
    <row r="24" spans="1:9" x14ac:dyDescent="0.3">
      <c r="A24" s="1" t="s">
        <v>96</v>
      </c>
      <c r="B24" s="1" t="s">
        <v>90</v>
      </c>
      <c r="C24" s="1" t="s">
        <v>97</v>
      </c>
      <c r="D24" s="1" t="s">
        <v>98</v>
      </c>
      <c r="E24" s="1" t="s">
        <v>49</v>
      </c>
      <c r="F24" s="1" t="s">
        <v>77</v>
      </c>
      <c r="G24" s="1" t="s">
        <v>99</v>
      </c>
      <c r="H24" s="1" t="s">
        <v>25</v>
      </c>
      <c r="I24" s="1"/>
    </row>
    <row r="25" spans="1:9" x14ac:dyDescent="0.3">
      <c r="A25" s="1" t="s">
        <v>53</v>
      </c>
      <c r="B25" s="1" t="s">
        <v>60</v>
      </c>
      <c r="C25" s="1" t="s">
        <v>85</v>
      </c>
      <c r="D25" s="1" t="s">
        <v>67</v>
      </c>
      <c r="E25" s="1" t="s">
        <v>70</v>
      </c>
      <c r="F25" s="1" t="s">
        <v>53</v>
      </c>
      <c r="G25" s="1" t="s">
        <v>100</v>
      </c>
      <c r="H25" s="1" t="s">
        <v>45</v>
      </c>
      <c r="I25" s="1"/>
    </row>
    <row r="26" spans="1:9" x14ac:dyDescent="0.3">
      <c r="A26" s="1" t="s">
        <v>92</v>
      </c>
      <c r="B26" s="1" t="s">
        <v>65</v>
      </c>
      <c r="C26" s="1" t="s">
        <v>85</v>
      </c>
      <c r="D26" s="1" t="s">
        <v>67</v>
      </c>
      <c r="E26" s="1" t="s">
        <v>34</v>
      </c>
      <c r="F26" s="1" t="s">
        <v>23</v>
      </c>
      <c r="G26" s="1" t="s">
        <v>77</v>
      </c>
      <c r="H26" s="1" t="s">
        <v>25</v>
      </c>
      <c r="I26" s="1"/>
    </row>
    <row r="27" spans="1:9" x14ac:dyDescent="0.3">
      <c r="A27" s="1" t="s">
        <v>57</v>
      </c>
      <c r="B27" s="1" t="s">
        <v>74</v>
      </c>
      <c r="C27" s="1" t="s">
        <v>97</v>
      </c>
      <c r="D27" s="1" t="s">
        <v>51</v>
      </c>
      <c r="E27" s="1" t="s">
        <v>18</v>
      </c>
      <c r="F27" s="1" t="s">
        <v>24</v>
      </c>
      <c r="G27" s="1" t="s">
        <v>77</v>
      </c>
      <c r="H27" s="1" t="s">
        <v>25</v>
      </c>
      <c r="I27" s="1"/>
    </row>
    <row r="28" spans="1:9" x14ac:dyDescent="0.3">
      <c r="A28" s="1" t="s">
        <v>33</v>
      </c>
      <c r="B28" s="1" t="s">
        <v>60</v>
      </c>
      <c r="C28" s="1" t="s">
        <v>101</v>
      </c>
      <c r="D28" s="1" t="s">
        <v>56</v>
      </c>
      <c r="E28" s="1" t="s">
        <v>18</v>
      </c>
      <c r="F28" s="1" t="s">
        <v>29</v>
      </c>
      <c r="G28" s="1" t="s">
        <v>43</v>
      </c>
      <c r="H28" s="1" t="s">
        <v>25</v>
      </c>
      <c r="I28" s="1"/>
    </row>
    <row r="29" spans="1:9" x14ac:dyDescent="0.3">
      <c r="A29" s="1" t="s">
        <v>99</v>
      </c>
      <c r="B29" s="1" t="s">
        <v>65</v>
      </c>
      <c r="C29" s="1" t="s">
        <v>97</v>
      </c>
      <c r="D29" s="1" t="s">
        <v>94</v>
      </c>
      <c r="E29" s="1" t="s">
        <v>26</v>
      </c>
      <c r="F29" s="1" t="s">
        <v>34</v>
      </c>
      <c r="G29" s="1" t="s">
        <v>38</v>
      </c>
      <c r="H29" s="1" t="s">
        <v>25</v>
      </c>
      <c r="I29" s="1"/>
    </row>
    <row r="30" spans="1:9" x14ac:dyDescent="0.3">
      <c r="A30" s="1" t="s">
        <v>62</v>
      </c>
      <c r="B30" s="1" t="s">
        <v>74</v>
      </c>
      <c r="C30" s="1" t="s">
        <v>97</v>
      </c>
      <c r="D30" s="1" t="s">
        <v>94</v>
      </c>
      <c r="E30" s="1" t="s">
        <v>26</v>
      </c>
      <c r="F30" s="1" t="s">
        <v>18</v>
      </c>
      <c r="G30" s="1" t="s">
        <v>22</v>
      </c>
      <c r="H30" s="1" t="s">
        <v>45</v>
      </c>
      <c r="I30" s="1"/>
    </row>
    <row r="31" spans="1:9" x14ac:dyDescent="0.3">
      <c r="A31" s="1" t="s">
        <v>58</v>
      </c>
      <c r="B31" s="1" t="s">
        <v>60</v>
      </c>
      <c r="C31" s="1" t="s">
        <v>61</v>
      </c>
      <c r="D31" s="1" t="s">
        <v>67</v>
      </c>
      <c r="E31" s="1" t="s">
        <v>37</v>
      </c>
      <c r="F31" s="1" t="s">
        <v>26</v>
      </c>
      <c r="G31" s="1" t="s">
        <v>26</v>
      </c>
      <c r="H31" s="1" t="s">
        <v>25</v>
      </c>
      <c r="I31" s="1"/>
    </row>
    <row r="32" spans="1:9" x14ac:dyDescent="0.3">
      <c r="A32" s="1" t="s">
        <v>87</v>
      </c>
      <c r="B32" s="1" t="s">
        <v>90</v>
      </c>
      <c r="C32" s="1" t="s">
        <v>47</v>
      </c>
      <c r="D32" s="1" t="s">
        <v>94</v>
      </c>
      <c r="E32" s="1" t="s">
        <v>37</v>
      </c>
      <c r="F32" s="1" t="s">
        <v>18</v>
      </c>
      <c r="G32" s="1" t="s">
        <v>18</v>
      </c>
      <c r="H32" s="1" t="s">
        <v>25</v>
      </c>
      <c r="I32" s="1"/>
    </row>
    <row r="33" spans="1:9" x14ac:dyDescent="0.3">
      <c r="A33" s="1" t="s">
        <v>30</v>
      </c>
      <c r="B33" s="1" t="s">
        <v>90</v>
      </c>
      <c r="C33" s="1" t="s">
        <v>102</v>
      </c>
      <c r="D33" s="1" t="s">
        <v>98</v>
      </c>
      <c r="E33" s="1" t="s">
        <v>37</v>
      </c>
      <c r="F33" s="1" t="s">
        <v>29</v>
      </c>
      <c r="G33" s="1" t="s">
        <v>29</v>
      </c>
      <c r="H33" s="1" t="s">
        <v>25</v>
      </c>
      <c r="I33" s="1"/>
    </row>
    <row r="34" spans="1:9" x14ac:dyDescent="0.3">
      <c r="A34" s="1" t="s">
        <v>103</v>
      </c>
      <c r="B34" s="1" t="s">
        <v>50</v>
      </c>
      <c r="C34" s="1" t="s">
        <v>47</v>
      </c>
      <c r="D34" s="1" t="s">
        <v>98</v>
      </c>
      <c r="E34" s="1" t="s">
        <v>18</v>
      </c>
      <c r="F34" s="1" t="s">
        <v>84</v>
      </c>
      <c r="G34" s="1" t="s">
        <v>86</v>
      </c>
      <c r="H34" s="1" t="s">
        <v>45</v>
      </c>
      <c r="I34" s="1"/>
    </row>
    <row r="35" spans="1:9" x14ac:dyDescent="0.3">
      <c r="A35" s="1" t="s">
        <v>95</v>
      </c>
      <c r="B35" s="1" t="s">
        <v>46</v>
      </c>
      <c r="C35" s="1" t="s">
        <v>20</v>
      </c>
      <c r="D35" s="1" t="s">
        <v>98</v>
      </c>
      <c r="E35" s="1" t="s">
        <v>41</v>
      </c>
      <c r="F35" s="1" t="s">
        <v>104</v>
      </c>
      <c r="G35" s="1" t="s">
        <v>105</v>
      </c>
      <c r="H35" s="1" t="s">
        <v>25</v>
      </c>
      <c r="I35" s="1"/>
    </row>
    <row r="36" spans="1:9" x14ac:dyDescent="0.3">
      <c r="A36" s="1" t="s">
        <v>71</v>
      </c>
      <c r="B36" s="1" t="s">
        <v>55</v>
      </c>
      <c r="C36" s="1" t="s">
        <v>102</v>
      </c>
      <c r="D36" s="1" t="s">
        <v>51</v>
      </c>
      <c r="E36" s="1" t="s">
        <v>24</v>
      </c>
      <c r="F36" s="1" t="s">
        <v>106</v>
      </c>
      <c r="G36" s="1" t="s">
        <v>75</v>
      </c>
      <c r="H36" s="1" t="s">
        <v>25</v>
      </c>
      <c r="I36" s="1"/>
    </row>
    <row r="37" spans="1:9" x14ac:dyDescent="0.3">
      <c r="A37" s="1" t="s">
        <v>54</v>
      </c>
      <c r="B37" s="1" t="s">
        <v>55</v>
      </c>
      <c r="C37" s="1" t="s">
        <v>107</v>
      </c>
      <c r="D37" s="1" t="s">
        <v>67</v>
      </c>
      <c r="E37" s="1" t="s">
        <v>86</v>
      </c>
      <c r="F37" s="1" t="s">
        <v>108</v>
      </c>
      <c r="G37" s="1" t="s">
        <v>81</v>
      </c>
      <c r="H37" s="1" t="s">
        <v>25</v>
      </c>
      <c r="I37" s="1"/>
    </row>
    <row r="38" spans="1:9" x14ac:dyDescent="0.3">
      <c r="A38" s="1" t="s">
        <v>88</v>
      </c>
      <c r="B38" s="1" t="s">
        <v>46</v>
      </c>
      <c r="C38" s="1" t="s">
        <v>107</v>
      </c>
      <c r="D38" s="1" t="s">
        <v>109</v>
      </c>
      <c r="E38" s="1" t="s">
        <v>49</v>
      </c>
      <c r="F38" s="1" t="s">
        <v>110</v>
      </c>
      <c r="G38" s="1" t="s">
        <v>111</v>
      </c>
      <c r="H38" s="1" t="s">
        <v>25</v>
      </c>
      <c r="I38" s="1"/>
    </row>
    <row r="39" spans="1:9" x14ac:dyDescent="0.3">
      <c r="A39" s="1" t="s">
        <v>112</v>
      </c>
      <c r="B39" s="1" t="s">
        <v>55</v>
      </c>
      <c r="C39" s="1" t="s">
        <v>47</v>
      </c>
      <c r="D39" s="1" t="s">
        <v>94</v>
      </c>
      <c r="E39" s="1" t="s">
        <v>34</v>
      </c>
      <c r="F39" s="1" t="s">
        <v>63</v>
      </c>
      <c r="G39" s="1" t="s">
        <v>113</v>
      </c>
      <c r="H39" s="1" t="s">
        <v>45</v>
      </c>
      <c r="I39" s="1"/>
    </row>
    <row r="40" spans="1:9" x14ac:dyDescent="0.3">
      <c r="A40" s="1" t="s">
        <v>100</v>
      </c>
      <c r="B40" s="1" t="s">
        <v>55</v>
      </c>
      <c r="C40" s="1" t="s">
        <v>20</v>
      </c>
      <c r="D40" s="1" t="s">
        <v>114</v>
      </c>
      <c r="E40" s="1" t="s">
        <v>84</v>
      </c>
      <c r="F40" s="1" t="s">
        <v>63</v>
      </c>
      <c r="G40" s="1" t="s">
        <v>115</v>
      </c>
      <c r="H40" s="1" t="s">
        <v>25</v>
      </c>
      <c r="I40" s="1"/>
    </row>
    <row r="41" spans="1:9" x14ac:dyDescent="0.3">
      <c r="A41" s="1" t="s">
        <v>31</v>
      </c>
      <c r="B41" s="1" t="s">
        <v>55</v>
      </c>
      <c r="C41" s="1" t="s">
        <v>102</v>
      </c>
      <c r="D41" s="1" t="s">
        <v>114</v>
      </c>
      <c r="E41" s="1" t="s">
        <v>43</v>
      </c>
      <c r="F41" s="1" t="s">
        <v>83</v>
      </c>
      <c r="G41" s="1" t="s">
        <v>116</v>
      </c>
      <c r="H41" s="1" t="s">
        <v>25</v>
      </c>
      <c r="I41" s="1"/>
    </row>
    <row r="42" spans="1:9" x14ac:dyDescent="0.3">
      <c r="A42" s="1" t="s">
        <v>79</v>
      </c>
      <c r="B42" s="1" t="s">
        <v>55</v>
      </c>
      <c r="C42" s="1" t="s">
        <v>117</v>
      </c>
      <c r="D42" s="1" t="s">
        <v>94</v>
      </c>
      <c r="E42" s="1" t="s">
        <v>41</v>
      </c>
      <c r="F42" s="1" t="s">
        <v>118</v>
      </c>
      <c r="G42" s="1" t="s">
        <v>119</v>
      </c>
      <c r="H42" s="1" t="s">
        <v>25</v>
      </c>
      <c r="I42" s="1"/>
    </row>
    <row r="43" spans="1:9" x14ac:dyDescent="0.3">
      <c r="A43" s="1" t="s">
        <v>120</v>
      </c>
      <c r="B43" s="1" t="s">
        <v>55</v>
      </c>
      <c r="C43" s="1" t="s">
        <v>121</v>
      </c>
      <c r="D43" s="1" t="s">
        <v>122</v>
      </c>
      <c r="E43" s="1" t="s">
        <v>36</v>
      </c>
      <c r="F43" s="1" t="s">
        <v>123</v>
      </c>
      <c r="G43" s="1" t="s">
        <v>105</v>
      </c>
      <c r="H43" s="1" t="s">
        <v>25</v>
      </c>
      <c r="I43" s="1"/>
    </row>
    <row r="44" spans="1:9" x14ac:dyDescent="0.3">
      <c r="A44" s="1" t="s">
        <v>123</v>
      </c>
      <c r="B44" s="1" t="s">
        <v>19</v>
      </c>
      <c r="C44" s="1" t="s">
        <v>124</v>
      </c>
      <c r="D44" s="1" t="s">
        <v>125</v>
      </c>
      <c r="E44" s="1" t="s">
        <v>18</v>
      </c>
      <c r="F44" s="1" t="s">
        <v>62</v>
      </c>
      <c r="G44" s="1" t="s">
        <v>58</v>
      </c>
      <c r="H44" s="1" t="s">
        <v>25</v>
      </c>
      <c r="I44" s="1"/>
    </row>
    <row r="45" spans="1:9" x14ac:dyDescent="0.3">
      <c r="A45" s="1" t="s">
        <v>126</v>
      </c>
      <c r="B45" s="1" t="s">
        <v>39</v>
      </c>
      <c r="C45" s="1" t="s">
        <v>127</v>
      </c>
      <c r="D45" s="1" t="s">
        <v>128</v>
      </c>
      <c r="E45" s="1" t="s">
        <v>32</v>
      </c>
      <c r="F45" s="1" t="s">
        <v>77</v>
      </c>
      <c r="G45" s="1" t="s">
        <v>93</v>
      </c>
      <c r="H45" s="1" t="s">
        <v>45</v>
      </c>
      <c r="I45" s="1"/>
    </row>
    <row r="46" spans="1:9" x14ac:dyDescent="0.3">
      <c r="A46" s="1" t="s">
        <v>129</v>
      </c>
      <c r="B46" s="1" t="s">
        <v>130</v>
      </c>
      <c r="C46" s="1" t="s">
        <v>131</v>
      </c>
      <c r="D46" s="1" t="s">
        <v>122</v>
      </c>
      <c r="E46" s="1" t="s">
        <v>49</v>
      </c>
      <c r="F46" s="1" t="s">
        <v>86</v>
      </c>
      <c r="G46" s="1" t="s">
        <v>87</v>
      </c>
      <c r="H46" s="1" t="s">
        <v>25</v>
      </c>
      <c r="I46" s="1"/>
    </row>
    <row r="47" spans="1:9" x14ac:dyDescent="0.3">
      <c r="A47" s="1" t="s">
        <v>104</v>
      </c>
      <c r="B47" s="1" t="s">
        <v>132</v>
      </c>
      <c r="C47" s="1" t="s">
        <v>131</v>
      </c>
      <c r="D47" s="1" t="s">
        <v>67</v>
      </c>
      <c r="E47" s="1" t="s">
        <v>37</v>
      </c>
      <c r="F47" s="1" t="s">
        <v>43</v>
      </c>
      <c r="G47" s="1" t="s">
        <v>43</v>
      </c>
      <c r="H47" s="1" t="s">
        <v>25</v>
      </c>
      <c r="I47" s="1"/>
    </row>
    <row r="48" spans="1:9" x14ac:dyDescent="0.3">
      <c r="A48" s="1" t="s">
        <v>68</v>
      </c>
      <c r="B48" s="1" t="s">
        <v>130</v>
      </c>
      <c r="C48" s="1" t="s">
        <v>133</v>
      </c>
      <c r="D48" s="1" t="s">
        <v>114</v>
      </c>
      <c r="E48" s="1" t="s">
        <v>37</v>
      </c>
      <c r="F48" s="1" t="s">
        <v>29</v>
      </c>
      <c r="G48" s="1" t="s">
        <v>29</v>
      </c>
      <c r="H48" s="1" t="s">
        <v>25</v>
      </c>
      <c r="I48" s="1"/>
    </row>
    <row r="49" spans="1:9" x14ac:dyDescent="0.3">
      <c r="A49" s="1" t="s">
        <v>134</v>
      </c>
      <c r="B49" s="1" t="s">
        <v>135</v>
      </c>
      <c r="C49" s="1" t="s">
        <v>131</v>
      </c>
      <c r="D49" s="1" t="s">
        <v>128</v>
      </c>
      <c r="E49" s="1" t="s">
        <v>37</v>
      </c>
      <c r="F49" s="1" t="s">
        <v>32</v>
      </c>
      <c r="G49" s="1" t="s">
        <v>32</v>
      </c>
      <c r="H49" s="1" t="s">
        <v>25</v>
      </c>
      <c r="I49" s="1"/>
    </row>
    <row r="50" spans="1:9" x14ac:dyDescent="0.3">
      <c r="A50" s="1" t="s">
        <v>136</v>
      </c>
      <c r="B50" s="1" t="s">
        <v>137</v>
      </c>
      <c r="C50" s="1" t="s">
        <v>131</v>
      </c>
      <c r="D50" s="1" t="s">
        <v>138</v>
      </c>
      <c r="E50" s="1" t="s">
        <v>37</v>
      </c>
      <c r="F50" s="1" t="s">
        <v>26</v>
      </c>
      <c r="G50" s="1" t="s">
        <v>26</v>
      </c>
      <c r="H50" s="1" t="s">
        <v>45</v>
      </c>
      <c r="I50" s="1"/>
    </row>
    <row r="51" spans="1:9" x14ac:dyDescent="0.3">
      <c r="A51" s="1" t="s">
        <v>139</v>
      </c>
      <c r="B51" s="1" t="s">
        <v>140</v>
      </c>
      <c r="C51" s="1" t="s">
        <v>133</v>
      </c>
      <c r="D51" s="1" t="s">
        <v>141</v>
      </c>
      <c r="E51" s="1" t="s">
        <v>37</v>
      </c>
      <c r="F51" s="1" t="s">
        <v>18</v>
      </c>
      <c r="G51" s="1" t="s">
        <v>18</v>
      </c>
      <c r="H51" s="1" t="s">
        <v>25</v>
      </c>
      <c r="I51" s="1"/>
    </row>
    <row r="52" spans="1:9" x14ac:dyDescent="0.3">
      <c r="A52" s="1" t="s">
        <v>142</v>
      </c>
      <c r="B52" s="1" t="s">
        <v>140</v>
      </c>
      <c r="C52" s="1" t="s">
        <v>133</v>
      </c>
      <c r="D52" s="1" t="s">
        <v>56</v>
      </c>
      <c r="E52" s="1" t="s">
        <v>37</v>
      </c>
      <c r="F52" s="1" t="s">
        <v>22</v>
      </c>
      <c r="G52" s="1" t="s">
        <v>22</v>
      </c>
      <c r="H52" s="1" t="s">
        <v>25</v>
      </c>
      <c r="I52" s="1"/>
    </row>
    <row r="53" spans="1:9" x14ac:dyDescent="0.3">
      <c r="A53" s="1" t="s">
        <v>80</v>
      </c>
      <c r="B53" s="1" t="s">
        <v>143</v>
      </c>
      <c r="C53" s="1" t="s">
        <v>144</v>
      </c>
      <c r="D53" s="1" t="s">
        <v>141</v>
      </c>
      <c r="E53" s="1" t="s">
        <v>37</v>
      </c>
      <c r="F53" s="1" t="s">
        <v>58</v>
      </c>
      <c r="G53" s="1" t="s">
        <v>58</v>
      </c>
      <c r="H53" s="1" t="s">
        <v>25</v>
      </c>
      <c r="I53" s="1"/>
    </row>
    <row r="54" spans="1:9" x14ac:dyDescent="0.3">
      <c r="A54" s="1" t="s">
        <v>105</v>
      </c>
      <c r="B54" s="1" t="s">
        <v>140</v>
      </c>
      <c r="C54" s="1" t="s">
        <v>144</v>
      </c>
      <c r="D54" s="1" t="s">
        <v>94</v>
      </c>
      <c r="E54" s="1" t="s">
        <v>18</v>
      </c>
      <c r="F54" s="1" t="s">
        <v>145</v>
      </c>
      <c r="G54" s="1" t="s">
        <v>110</v>
      </c>
      <c r="H54" s="1" t="s">
        <v>25</v>
      </c>
      <c r="I54" s="1"/>
    </row>
    <row r="55" spans="1:9" x14ac:dyDescent="0.3">
      <c r="A55" s="1" t="s">
        <v>106</v>
      </c>
      <c r="B55" s="1" t="s">
        <v>146</v>
      </c>
      <c r="C55" s="1" t="s">
        <v>144</v>
      </c>
      <c r="D55" s="1" t="s">
        <v>56</v>
      </c>
      <c r="E55" s="1" t="s">
        <v>18</v>
      </c>
      <c r="F55" s="1" t="s">
        <v>147</v>
      </c>
      <c r="G55" s="1" t="s">
        <v>148</v>
      </c>
      <c r="H55" s="1" t="s">
        <v>25</v>
      </c>
      <c r="I55" s="1"/>
    </row>
    <row r="56" spans="1:9" x14ac:dyDescent="0.3">
      <c r="A56" s="1" t="s">
        <v>63</v>
      </c>
      <c r="B56" s="1" t="s">
        <v>140</v>
      </c>
      <c r="C56" s="1" t="s">
        <v>149</v>
      </c>
      <c r="D56" s="1" t="s">
        <v>141</v>
      </c>
      <c r="E56" s="1" t="s">
        <v>41</v>
      </c>
      <c r="F56" s="1" t="s">
        <v>150</v>
      </c>
      <c r="G56" s="1" t="s">
        <v>151</v>
      </c>
      <c r="H56" s="1" t="s">
        <v>25</v>
      </c>
      <c r="I56" s="1"/>
    </row>
    <row r="57" spans="1:9" x14ac:dyDescent="0.3">
      <c r="A57" s="1" t="s">
        <v>59</v>
      </c>
      <c r="B57" s="1" t="s">
        <v>137</v>
      </c>
      <c r="C57" s="1" t="s">
        <v>149</v>
      </c>
      <c r="D57" s="1" t="s">
        <v>51</v>
      </c>
      <c r="E57" s="1" t="s">
        <v>49</v>
      </c>
      <c r="F57" s="1" t="s">
        <v>103</v>
      </c>
      <c r="G57" s="1" t="s">
        <v>126</v>
      </c>
      <c r="H57" s="1" t="s">
        <v>25</v>
      </c>
      <c r="I57" s="1"/>
    </row>
    <row r="58" spans="1:9" x14ac:dyDescent="0.3">
      <c r="A58" s="1" t="s">
        <v>152</v>
      </c>
      <c r="B58" s="1" t="s">
        <v>153</v>
      </c>
      <c r="C58" s="1" t="s">
        <v>154</v>
      </c>
      <c r="D58" s="1" t="s">
        <v>122</v>
      </c>
      <c r="E58" s="1" t="s">
        <v>36</v>
      </c>
      <c r="F58" s="1" t="s">
        <v>79</v>
      </c>
      <c r="G58" s="1" t="s">
        <v>142</v>
      </c>
      <c r="H58" s="1" t="s">
        <v>25</v>
      </c>
      <c r="I58" s="1"/>
    </row>
    <row r="59" spans="1:9" x14ac:dyDescent="0.3">
      <c r="A59" s="1" t="s">
        <v>118</v>
      </c>
      <c r="B59" s="1" t="s">
        <v>132</v>
      </c>
      <c r="C59" s="1" t="s">
        <v>155</v>
      </c>
      <c r="D59" s="1" t="s">
        <v>67</v>
      </c>
      <c r="E59" s="1" t="s">
        <v>23</v>
      </c>
      <c r="F59" s="1" t="s">
        <v>134</v>
      </c>
      <c r="G59" s="1" t="s">
        <v>156</v>
      </c>
      <c r="H59" s="1" t="s">
        <v>25</v>
      </c>
      <c r="I59" s="1"/>
    </row>
    <row r="60" spans="1:9" x14ac:dyDescent="0.3">
      <c r="A60" s="1" t="s">
        <v>113</v>
      </c>
      <c r="B60" s="1" t="s">
        <v>130</v>
      </c>
      <c r="C60" s="1" t="s">
        <v>155</v>
      </c>
      <c r="D60" s="1" t="s">
        <v>56</v>
      </c>
      <c r="E60" s="1" t="s">
        <v>29</v>
      </c>
      <c r="F60" s="1" t="s">
        <v>105</v>
      </c>
      <c r="G60" s="1" t="s">
        <v>156</v>
      </c>
      <c r="H60" s="1" t="s">
        <v>45</v>
      </c>
      <c r="I60" s="1"/>
    </row>
    <row r="61" spans="1:9" x14ac:dyDescent="0.3">
      <c r="A61" s="1" t="s">
        <v>157</v>
      </c>
      <c r="B61" s="1" t="s">
        <v>158</v>
      </c>
      <c r="C61" s="1" t="s">
        <v>159</v>
      </c>
      <c r="D61" s="1" t="s">
        <v>56</v>
      </c>
      <c r="E61" s="1" t="s">
        <v>49</v>
      </c>
      <c r="F61" s="1" t="s">
        <v>160</v>
      </c>
      <c r="G61" s="1" t="s">
        <v>161</v>
      </c>
      <c r="H61" s="1" t="s">
        <v>25</v>
      </c>
      <c r="I61" s="1"/>
    </row>
    <row r="62" spans="1:9" x14ac:dyDescent="0.3">
      <c r="A62" s="1" t="s">
        <v>156</v>
      </c>
      <c r="B62" s="1" t="s">
        <v>158</v>
      </c>
      <c r="C62" s="1" t="s">
        <v>159</v>
      </c>
      <c r="D62" s="1" t="s">
        <v>51</v>
      </c>
      <c r="E62" s="1" t="s">
        <v>48</v>
      </c>
      <c r="F62" s="1" t="s">
        <v>118</v>
      </c>
      <c r="G62" s="1" t="s">
        <v>162</v>
      </c>
      <c r="H62" s="1" t="s">
        <v>25</v>
      </c>
      <c r="I62" s="1"/>
    </row>
    <row r="63" spans="1:9" x14ac:dyDescent="0.3">
      <c r="A63" s="1" t="s">
        <v>163</v>
      </c>
      <c r="B63" s="1" t="s">
        <v>158</v>
      </c>
      <c r="C63" s="1" t="s">
        <v>159</v>
      </c>
      <c r="D63" s="1" t="s">
        <v>51</v>
      </c>
      <c r="E63" s="1" t="s">
        <v>43</v>
      </c>
      <c r="F63" s="1" t="s">
        <v>83</v>
      </c>
      <c r="G63" s="1" t="s">
        <v>116</v>
      </c>
      <c r="H63" s="1" t="s">
        <v>25</v>
      </c>
      <c r="I63" s="1"/>
    </row>
    <row r="64" spans="1:9" x14ac:dyDescent="0.3">
      <c r="A64" s="1" t="s">
        <v>145</v>
      </c>
      <c r="B64" s="1" t="s">
        <v>130</v>
      </c>
      <c r="C64" s="1" t="s">
        <v>159</v>
      </c>
      <c r="D64" s="1" t="s">
        <v>98</v>
      </c>
      <c r="E64" s="1" t="s">
        <v>49</v>
      </c>
      <c r="F64" s="1" t="s">
        <v>164</v>
      </c>
      <c r="G64" s="1" t="s">
        <v>165</v>
      </c>
      <c r="H64" s="1" t="s">
        <v>25</v>
      </c>
      <c r="I64" s="1"/>
    </row>
    <row r="65" spans="1:9" x14ac:dyDescent="0.3">
      <c r="A65" s="1" t="s">
        <v>110</v>
      </c>
      <c r="B65" s="1" t="s">
        <v>39</v>
      </c>
      <c r="C65" s="1" t="s">
        <v>166</v>
      </c>
      <c r="D65" s="1" t="s">
        <v>167</v>
      </c>
      <c r="E65" s="1" t="s">
        <v>43</v>
      </c>
      <c r="F65" s="1" t="s">
        <v>168</v>
      </c>
      <c r="G65" s="1" t="s">
        <v>165</v>
      </c>
      <c r="H65" s="1" t="s">
        <v>25</v>
      </c>
      <c r="I65" s="1"/>
    </row>
    <row r="66" spans="1:9" x14ac:dyDescent="0.3">
      <c r="A66" s="1" t="s">
        <v>119</v>
      </c>
      <c r="B66" s="1" t="s">
        <v>39</v>
      </c>
      <c r="C66" s="1" t="s">
        <v>133</v>
      </c>
      <c r="D66" s="1" t="s">
        <v>21</v>
      </c>
      <c r="E66" s="1" t="s">
        <v>29</v>
      </c>
      <c r="F66" s="1" t="s">
        <v>169</v>
      </c>
      <c r="G66" s="1" t="s">
        <v>76</v>
      </c>
      <c r="H66" s="1" t="s">
        <v>25</v>
      </c>
      <c r="I66" s="1"/>
    </row>
    <row r="67" spans="1:9" x14ac:dyDescent="0.3">
      <c r="A67" s="1" t="s">
        <v>160</v>
      </c>
      <c r="B67" s="1" t="s">
        <v>130</v>
      </c>
      <c r="C67" s="1" t="s">
        <v>133</v>
      </c>
      <c r="D67" s="1" t="s">
        <v>167</v>
      </c>
      <c r="E67" s="1" t="s">
        <v>22</v>
      </c>
      <c r="F67" s="1" t="s">
        <v>136</v>
      </c>
      <c r="G67" s="1" t="s">
        <v>80</v>
      </c>
      <c r="H67" s="1" t="s">
        <v>45</v>
      </c>
      <c r="I67" s="1"/>
    </row>
    <row r="68" spans="1:9" x14ac:dyDescent="0.3">
      <c r="A68" s="1" t="s">
        <v>83</v>
      </c>
      <c r="B68" s="1" t="s">
        <v>135</v>
      </c>
      <c r="C68" s="1" t="s">
        <v>170</v>
      </c>
      <c r="D68" s="1" t="s">
        <v>109</v>
      </c>
      <c r="E68" s="1" t="s">
        <v>22</v>
      </c>
      <c r="F68" s="1" t="s">
        <v>136</v>
      </c>
      <c r="G68" s="1" t="s">
        <v>80</v>
      </c>
      <c r="H68" s="1" t="s">
        <v>25</v>
      </c>
      <c r="I68" s="1"/>
    </row>
    <row r="69" spans="1:9" x14ac:dyDescent="0.3">
      <c r="A69" s="1" t="s">
        <v>171</v>
      </c>
      <c r="B69" s="1" t="s">
        <v>172</v>
      </c>
      <c r="C69" s="1" t="s">
        <v>173</v>
      </c>
      <c r="D69" s="1" t="s">
        <v>109</v>
      </c>
      <c r="E69" s="1" t="s">
        <v>37</v>
      </c>
      <c r="F69" s="1" t="s">
        <v>86</v>
      </c>
      <c r="G69" s="1" t="s">
        <v>86</v>
      </c>
      <c r="H69" s="1" t="s">
        <v>25</v>
      </c>
      <c r="I69" s="1"/>
    </row>
    <row r="70" spans="1:9" x14ac:dyDescent="0.3">
      <c r="A70" s="1" t="s">
        <v>174</v>
      </c>
      <c r="B70" s="1" t="s">
        <v>132</v>
      </c>
      <c r="C70" s="1" t="s">
        <v>175</v>
      </c>
      <c r="D70" s="1" t="s">
        <v>167</v>
      </c>
      <c r="E70" s="1" t="s">
        <v>18</v>
      </c>
      <c r="F70" s="1" t="s">
        <v>49</v>
      </c>
      <c r="G70" s="1" t="s">
        <v>52</v>
      </c>
      <c r="H70" s="1" t="s">
        <v>25</v>
      </c>
      <c r="I70" s="1"/>
    </row>
    <row r="71" spans="1:9" x14ac:dyDescent="0.3">
      <c r="A71" s="1" t="s">
        <v>75</v>
      </c>
      <c r="B71" s="1" t="s">
        <v>135</v>
      </c>
      <c r="C71" s="1" t="s">
        <v>175</v>
      </c>
      <c r="D71" s="1" t="s">
        <v>167</v>
      </c>
      <c r="E71" s="1" t="s">
        <v>37</v>
      </c>
      <c r="F71" s="1" t="s">
        <v>32</v>
      </c>
      <c r="G71" s="1" t="s">
        <v>32</v>
      </c>
      <c r="H71" s="1" t="s">
        <v>45</v>
      </c>
      <c r="I71" s="1"/>
    </row>
    <row r="72" spans="1:9" x14ac:dyDescent="0.3">
      <c r="A72" s="1" t="s">
        <v>72</v>
      </c>
      <c r="B72" s="1" t="s">
        <v>153</v>
      </c>
      <c r="C72" s="1" t="s">
        <v>176</v>
      </c>
      <c r="D72" s="1" t="s">
        <v>167</v>
      </c>
      <c r="E72" s="1" t="s">
        <v>37</v>
      </c>
      <c r="F72" s="1" t="s">
        <v>26</v>
      </c>
      <c r="G72" s="1" t="s">
        <v>26</v>
      </c>
      <c r="H72" s="1" t="s">
        <v>25</v>
      </c>
      <c r="I72" s="1"/>
    </row>
    <row r="73" spans="1:9" x14ac:dyDescent="0.3">
      <c r="A73" s="1" t="s">
        <v>162</v>
      </c>
      <c r="B73" s="1" t="s">
        <v>172</v>
      </c>
      <c r="C73" s="1" t="s">
        <v>177</v>
      </c>
      <c r="D73" s="1" t="s">
        <v>109</v>
      </c>
      <c r="E73" s="1" t="s">
        <v>37</v>
      </c>
      <c r="F73" s="1" t="s">
        <v>18</v>
      </c>
      <c r="G73" s="1" t="s">
        <v>18</v>
      </c>
      <c r="H73" s="1" t="s">
        <v>25</v>
      </c>
      <c r="I73" s="1"/>
    </row>
    <row r="74" spans="1:9" x14ac:dyDescent="0.3">
      <c r="A74" s="1" t="s">
        <v>108</v>
      </c>
      <c r="B74" s="1" t="s">
        <v>153</v>
      </c>
      <c r="C74" s="1" t="s">
        <v>177</v>
      </c>
      <c r="D74" s="1" t="s">
        <v>40</v>
      </c>
      <c r="E74" s="1" t="s">
        <v>37</v>
      </c>
      <c r="F74" s="1" t="s">
        <v>26</v>
      </c>
      <c r="G74" s="1" t="s">
        <v>26</v>
      </c>
      <c r="H74" s="1" t="s">
        <v>25</v>
      </c>
      <c r="I74" s="1"/>
    </row>
    <row r="75" spans="1:9" x14ac:dyDescent="0.3">
      <c r="A75" s="1" t="s">
        <v>115</v>
      </c>
      <c r="B75" s="1" t="s">
        <v>172</v>
      </c>
      <c r="C75" s="1" t="s">
        <v>178</v>
      </c>
      <c r="D75" s="1" t="s">
        <v>167</v>
      </c>
      <c r="E75" s="1" t="s">
        <v>37</v>
      </c>
      <c r="F75" s="1" t="s">
        <v>34</v>
      </c>
      <c r="G75" s="1" t="s">
        <v>34</v>
      </c>
      <c r="H75" s="1" t="s">
        <v>25</v>
      </c>
      <c r="I75" s="1"/>
    </row>
    <row r="76" spans="1:9" x14ac:dyDescent="0.3">
      <c r="A76" s="1" t="s">
        <v>111</v>
      </c>
      <c r="B76" s="1" t="s">
        <v>172</v>
      </c>
      <c r="C76" s="1" t="s">
        <v>179</v>
      </c>
      <c r="D76" s="1" t="s">
        <v>167</v>
      </c>
      <c r="E76" s="1" t="s">
        <v>37</v>
      </c>
      <c r="F76" s="1" t="s">
        <v>54</v>
      </c>
      <c r="G76" s="1" t="s">
        <v>54</v>
      </c>
      <c r="H76" s="1" t="s">
        <v>25</v>
      </c>
      <c r="I76" s="1"/>
    </row>
    <row r="77" spans="1:9" x14ac:dyDescent="0.3">
      <c r="A77" s="1" t="s">
        <v>116</v>
      </c>
      <c r="B77" s="1" t="s">
        <v>172</v>
      </c>
      <c r="C77" s="1" t="s">
        <v>179</v>
      </c>
      <c r="D77" s="1" t="s">
        <v>109</v>
      </c>
      <c r="E77" s="1" t="s">
        <v>26</v>
      </c>
      <c r="F77" s="1" t="s">
        <v>180</v>
      </c>
      <c r="G77" s="1" t="s">
        <v>69</v>
      </c>
      <c r="H77" s="1" t="s">
        <v>25</v>
      </c>
      <c r="I77" s="1"/>
    </row>
    <row r="78" spans="1:9" x14ac:dyDescent="0.3">
      <c r="A78" s="1" t="s">
        <v>161</v>
      </c>
      <c r="B78" s="1" t="s">
        <v>172</v>
      </c>
      <c r="C78" s="1" t="s">
        <v>173</v>
      </c>
      <c r="D78" s="1" t="s">
        <v>114</v>
      </c>
      <c r="E78" s="1" t="s">
        <v>26</v>
      </c>
      <c r="F78" s="1" t="s">
        <v>181</v>
      </c>
      <c r="G78" s="1" t="s">
        <v>182</v>
      </c>
      <c r="H78" s="1" t="s">
        <v>25</v>
      </c>
      <c r="I78" s="1"/>
    </row>
    <row r="79" spans="1:9" x14ac:dyDescent="0.3">
      <c r="A79" s="1" t="s">
        <v>183</v>
      </c>
      <c r="B79" s="1" t="s">
        <v>172</v>
      </c>
      <c r="C79" s="1" t="s">
        <v>170</v>
      </c>
      <c r="D79" s="1" t="s">
        <v>98</v>
      </c>
      <c r="E79" s="1" t="s">
        <v>26</v>
      </c>
      <c r="F79" s="1" t="s">
        <v>184</v>
      </c>
      <c r="G79" s="1" t="s">
        <v>185</v>
      </c>
      <c r="H79" s="1" t="s">
        <v>25</v>
      </c>
      <c r="I79" s="1"/>
    </row>
    <row r="80" spans="1:9" x14ac:dyDescent="0.3">
      <c r="A80" s="1" t="s">
        <v>186</v>
      </c>
      <c r="B80" s="1" t="s">
        <v>140</v>
      </c>
      <c r="C80" s="1" t="s">
        <v>173</v>
      </c>
      <c r="D80" s="1" t="s">
        <v>122</v>
      </c>
      <c r="E80" s="1" t="s">
        <v>32</v>
      </c>
      <c r="F80" s="1" t="s">
        <v>88</v>
      </c>
      <c r="G80" s="1" t="s">
        <v>120</v>
      </c>
      <c r="H80" s="1" t="s">
        <v>25</v>
      </c>
      <c r="I80" s="1"/>
    </row>
    <row r="81" spans="1:9" x14ac:dyDescent="0.3">
      <c r="A81" s="1" t="s">
        <v>187</v>
      </c>
      <c r="B81" s="1" t="s">
        <v>132</v>
      </c>
      <c r="C81" s="1" t="s">
        <v>188</v>
      </c>
      <c r="D81" s="1" t="s">
        <v>67</v>
      </c>
      <c r="E81" s="1" t="s">
        <v>41</v>
      </c>
      <c r="F81" s="1" t="s">
        <v>139</v>
      </c>
      <c r="G81" s="1" t="s">
        <v>152</v>
      </c>
      <c r="H81" s="1" t="s">
        <v>25</v>
      </c>
      <c r="I81" s="1"/>
    </row>
    <row r="82" spans="1:9" x14ac:dyDescent="0.3">
      <c r="A82" s="1" t="s">
        <v>150</v>
      </c>
      <c r="B82" s="1" t="s">
        <v>130</v>
      </c>
      <c r="C82" s="1" t="s">
        <v>188</v>
      </c>
      <c r="D82" s="1" t="s">
        <v>114</v>
      </c>
      <c r="E82" s="1" t="s">
        <v>52</v>
      </c>
      <c r="F82" s="1" t="s">
        <v>160</v>
      </c>
      <c r="G82" s="1" t="s">
        <v>183</v>
      </c>
      <c r="H82" s="1" t="s">
        <v>25</v>
      </c>
      <c r="I82" s="1"/>
    </row>
    <row r="83" spans="1:9" x14ac:dyDescent="0.3">
      <c r="A83" s="1" t="s">
        <v>189</v>
      </c>
      <c r="B83" s="1" t="s">
        <v>130</v>
      </c>
      <c r="C83" s="1" t="s">
        <v>190</v>
      </c>
      <c r="D83" s="1" t="s">
        <v>94</v>
      </c>
      <c r="E83" s="1" t="s">
        <v>82</v>
      </c>
      <c r="F83" s="1" t="s">
        <v>186</v>
      </c>
      <c r="G83" s="1" t="s">
        <v>191</v>
      </c>
      <c r="H83" s="1" t="s">
        <v>25</v>
      </c>
      <c r="I83" s="1"/>
    </row>
    <row r="84" spans="1:9" x14ac:dyDescent="0.3">
      <c r="A84" s="1" t="s">
        <v>192</v>
      </c>
      <c r="B84" s="1" t="s">
        <v>39</v>
      </c>
      <c r="C84" s="1" t="s">
        <v>193</v>
      </c>
      <c r="D84" s="1" t="s">
        <v>98</v>
      </c>
      <c r="E84" s="1" t="s">
        <v>43</v>
      </c>
      <c r="F84" s="1" t="s">
        <v>106</v>
      </c>
      <c r="G84" s="1" t="s">
        <v>145</v>
      </c>
      <c r="H84" s="1" t="s">
        <v>25</v>
      </c>
      <c r="I84" s="1"/>
    </row>
    <row r="85" spans="1:9" x14ac:dyDescent="0.3">
      <c r="A85" s="1" t="s">
        <v>64</v>
      </c>
      <c r="B85" s="1" t="s">
        <v>27</v>
      </c>
      <c r="C85" s="1" t="s">
        <v>193</v>
      </c>
      <c r="D85" s="1" t="s">
        <v>51</v>
      </c>
      <c r="E85" s="1" t="s">
        <v>77</v>
      </c>
      <c r="F85" s="1" t="s">
        <v>134</v>
      </c>
      <c r="G85" s="1" t="s">
        <v>119</v>
      </c>
      <c r="H85" s="1" t="s">
        <v>25</v>
      </c>
      <c r="I85" s="1"/>
    </row>
    <row r="86" spans="1:9" x14ac:dyDescent="0.3">
      <c r="A86" s="1" t="s">
        <v>194</v>
      </c>
      <c r="B86" s="1" t="s">
        <v>19</v>
      </c>
      <c r="C86" s="1" t="s">
        <v>195</v>
      </c>
      <c r="D86" s="1" t="s">
        <v>51</v>
      </c>
      <c r="E86" s="1" t="s">
        <v>70</v>
      </c>
      <c r="F86" s="1" t="s">
        <v>171</v>
      </c>
      <c r="G86" s="1" t="s">
        <v>192</v>
      </c>
      <c r="H86" s="1" t="s">
        <v>25</v>
      </c>
      <c r="I86" s="1"/>
    </row>
    <row r="87" spans="1:9" x14ac:dyDescent="0.3">
      <c r="A87" s="1" t="s">
        <v>196</v>
      </c>
      <c r="B87" s="1" t="s">
        <v>27</v>
      </c>
      <c r="C87" s="1" t="s">
        <v>197</v>
      </c>
      <c r="D87" s="1" t="s">
        <v>98</v>
      </c>
      <c r="E87" s="1" t="s">
        <v>36</v>
      </c>
      <c r="F87" s="1" t="s">
        <v>198</v>
      </c>
      <c r="G87" s="1" t="s">
        <v>199</v>
      </c>
      <c r="H87" s="1" t="s">
        <v>25</v>
      </c>
      <c r="I87" s="1"/>
    </row>
    <row r="88" spans="1:9" x14ac:dyDescent="0.3">
      <c r="A88" s="1" t="s">
        <v>200</v>
      </c>
      <c r="B88" s="1" t="s">
        <v>39</v>
      </c>
      <c r="C88" s="1" t="s">
        <v>197</v>
      </c>
      <c r="D88" s="1" t="s">
        <v>94</v>
      </c>
      <c r="E88" s="1" t="s">
        <v>22</v>
      </c>
      <c r="F88" s="1" t="s">
        <v>182</v>
      </c>
      <c r="G88" s="1" t="s">
        <v>201</v>
      </c>
      <c r="H88" s="1" t="s">
        <v>25</v>
      </c>
      <c r="I88" s="1"/>
    </row>
    <row r="89" spans="1:9" x14ac:dyDescent="0.3">
      <c r="A89" s="1" t="s">
        <v>151</v>
      </c>
      <c r="B89" s="1" t="s">
        <v>39</v>
      </c>
      <c r="C89" s="1" t="s">
        <v>197</v>
      </c>
      <c r="D89" s="1" t="s">
        <v>167</v>
      </c>
      <c r="E89" s="1" t="s">
        <v>26</v>
      </c>
      <c r="F89" s="1" t="s">
        <v>76</v>
      </c>
      <c r="G89" s="1" t="s">
        <v>202</v>
      </c>
      <c r="H89" s="1" t="s">
        <v>25</v>
      </c>
      <c r="I89" s="1"/>
    </row>
    <row r="90" spans="1:9" x14ac:dyDescent="0.3">
      <c r="A90" s="1" t="s">
        <v>203</v>
      </c>
      <c r="B90" s="1" t="s">
        <v>39</v>
      </c>
      <c r="C90" s="1" t="s">
        <v>197</v>
      </c>
      <c r="D90" s="1" t="s">
        <v>167</v>
      </c>
      <c r="E90" s="1" t="s">
        <v>18</v>
      </c>
      <c r="F90" s="1" t="s">
        <v>105</v>
      </c>
      <c r="G90" s="1" t="s">
        <v>106</v>
      </c>
      <c r="H90" s="1" t="s">
        <v>25</v>
      </c>
      <c r="I90" s="1"/>
    </row>
    <row r="91" spans="1:9" x14ac:dyDescent="0.3">
      <c r="A91" s="1" t="s">
        <v>204</v>
      </c>
      <c r="B91" s="1" t="s">
        <v>27</v>
      </c>
      <c r="C91" s="1" t="s">
        <v>170</v>
      </c>
      <c r="D91" s="1" t="s">
        <v>21</v>
      </c>
      <c r="E91" s="1" t="s">
        <v>37</v>
      </c>
      <c r="F91" s="1" t="s">
        <v>134</v>
      </c>
      <c r="G91" s="1" t="s">
        <v>134</v>
      </c>
      <c r="H91" s="1" t="s">
        <v>25</v>
      </c>
      <c r="I91" s="1"/>
    </row>
    <row r="92" spans="1:9" x14ac:dyDescent="0.3">
      <c r="A92" s="1" t="s">
        <v>205</v>
      </c>
      <c r="B92" s="1" t="s">
        <v>39</v>
      </c>
      <c r="C92" s="1" t="s">
        <v>170</v>
      </c>
      <c r="D92" s="1" t="s">
        <v>40</v>
      </c>
      <c r="E92" s="1" t="s">
        <v>18</v>
      </c>
      <c r="F92" s="1" t="s">
        <v>95</v>
      </c>
      <c r="G92" s="1" t="s">
        <v>71</v>
      </c>
      <c r="H92" s="1" t="s">
        <v>25</v>
      </c>
      <c r="I92" s="1"/>
    </row>
    <row r="93" spans="1:9" x14ac:dyDescent="0.3">
      <c r="A93" s="1" t="s">
        <v>180</v>
      </c>
      <c r="B93" s="1" t="s">
        <v>130</v>
      </c>
      <c r="C93" s="1" t="s">
        <v>173</v>
      </c>
      <c r="D93" s="1" t="s">
        <v>40</v>
      </c>
      <c r="E93" s="1" t="s">
        <v>26</v>
      </c>
      <c r="F93" s="1" t="s">
        <v>43</v>
      </c>
      <c r="G93" s="1" t="s">
        <v>49</v>
      </c>
      <c r="H93" s="1" t="s">
        <v>25</v>
      </c>
      <c r="I93" s="1"/>
    </row>
    <row r="94" spans="1:9" x14ac:dyDescent="0.3">
      <c r="A94" s="1" t="s">
        <v>81</v>
      </c>
      <c r="B94" s="1" t="s">
        <v>39</v>
      </c>
      <c r="C94" s="1" t="s">
        <v>170</v>
      </c>
      <c r="D94" s="1" t="s">
        <v>21</v>
      </c>
      <c r="E94" s="1" t="s">
        <v>37</v>
      </c>
      <c r="F94" s="1" t="s">
        <v>38</v>
      </c>
      <c r="G94" s="1" t="s">
        <v>38</v>
      </c>
      <c r="H94" s="1" t="s">
        <v>25</v>
      </c>
      <c r="I94" s="1"/>
    </row>
    <row r="95" spans="1:9" x14ac:dyDescent="0.3">
      <c r="A95" s="1" t="s">
        <v>69</v>
      </c>
      <c r="B95" s="1" t="s">
        <v>135</v>
      </c>
      <c r="C95" s="1" t="s">
        <v>179</v>
      </c>
      <c r="D95" s="1" t="s">
        <v>40</v>
      </c>
      <c r="E95" s="1" t="s">
        <v>37</v>
      </c>
      <c r="F95" s="1" t="s">
        <v>38</v>
      </c>
      <c r="G95" s="1" t="s">
        <v>38</v>
      </c>
      <c r="H95" s="1" t="s">
        <v>25</v>
      </c>
      <c r="I95" s="1"/>
    </row>
    <row r="96" spans="1:9" x14ac:dyDescent="0.3">
      <c r="A96" s="1" t="s">
        <v>206</v>
      </c>
      <c r="B96" s="1" t="s">
        <v>135</v>
      </c>
      <c r="C96" s="1" t="s">
        <v>179</v>
      </c>
      <c r="D96" s="1" t="s">
        <v>40</v>
      </c>
      <c r="E96" s="1" t="s">
        <v>37</v>
      </c>
      <c r="F96" s="1" t="s">
        <v>26</v>
      </c>
      <c r="G96" s="1" t="s">
        <v>26</v>
      </c>
      <c r="H96" s="1" t="s">
        <v>25</v>
      </c>
      <c r="I96" s="1"/>
    </row>
    <row r="97" spans="1:9" x14ac:dyDescent="0.3">
      <c r="A97" s="1" t="s">
        <v>207</v>
      </c>
      <c r="B97" s="1" t="s">
        <v>130</v>
      </c>
      <c r="C97" s="1" t="s">
        <v>197</v>
      </c>
      <c r="D97" s="1" t="s">
        <v>98</v>
      </c>
      <c r="E97" s="1" t="s">
        <v>37</v>
      </c>
      <c r="F97" s="1" t="s">
        <v>26</v>
      </c>
      <c r="G97" s="1" t="s">
        <v>26</v>
      </c>
      <c r="H97" s="1" t="s">
        <v>25</v>
      </c>
      <c r="I97" s="1"/>
    </row>
    <row r="98" spans="1:9" x14ac:dyDescent="0.3">
      <c r="A98" s="1" t="s">
        <v>191</v>
      </c>
      <c r="B98" s="1" t="s">
        <v>130</v>
      </c>
      <c r="C98" s="1" t="s">
        <v>133</v>
      </c>
      <c r="D98" s="1" t="s">
        <v>114</v>
      </c>
      <c r="E98" s="1" t="s">
        <v>37</v>
      </c>
      <c r="F98" s="1" t="s">
        <v>22</v>
      </c>
      <c r="G98" s="1" t="s">
        <v>22</v>
      </c>
      <c r="H98" s="1" t="s">
        <v>25</v>
      </c>
      <c r="I98" s="1"/>
    </row>
    <row r="99" spans="1:9" x14ac:dyDescent="0.3">
      <c r="A99" s="1" t="s">
        <v>184</v>
      </c>
      <c r="B99" s="1" t="s">
        <v>135</v>
      </c>
      <c r="C99" s="1" t="s">
        <v>133</v>
      </c>
      <c r="D99" s="1" t="s">
        <v>98</v>
      </c>
      <c r="E99" s="1" t="s">
        <v>37</v>
      </c>
      <c r="F99" s="1" t="s">
        <v>103</v>
      </c>
      <c r="G99" s="1" t="s">
        <v>103</v>
      </c>
      <c r="H99" s="1" t="s">
        <v>25</v>
      </c>
      <c r="I99" s="1"/>
    </row>
    <row r="100" spans="1:9" x14ac:dyDescent="0.3">
      <c r="A100" s="1" t="s">
        <v>208</v>
      </c>
      <c r="B100" s="1" t="s">
        <v>153</v>
      </c>
      <c r="C100" s="1" t="s">
        <v>149</v>
      </c>
      <c r="D100" s="1" t="s">
        <v>94</v>
      </c>
      <c r="E100" s="1" t="s">
        <v>18</v>
      </c>
      <c r="F100" s="1" t="s">
        <v>200</v>
      </c>
      <c r="G100" s="1" t="s">
        <v>151</v>
      </c>
      <c r="H100" s="1" t="s">
        <v>25</v>
      </c>
      <c r="I100" s="1"/>
    </row>
    <row r="101" spans="1:9" x14ac:dyDescent="0.3">
      <c r="A101" s="1" t="s">
        <v>185</v>
      </c>
      <c r="B101" s="1" t="s">
        <v>153</v>
      </c>
      <c r="C101" s="1" t="s">
        <v>154</v>
      </c>
      <c r="D101" s="1" t="s">
        <v>67</v>
      </c>
      <c r="E101" s="1" t="s">
        <v>22</v>
      </c>
      <c r="F101" s="1" t="s">
        <v>209</v>
      </c>
      <c r="G101" s="1" t="s">
        <v>210</v>
      </c>
      <c r="H101" s="1" t="s">
        <v>25</v>
      </c>
      <c r="I101" s="1"/>
    </row>
    <row r="102" spans="1:9" x14ac:dyDescent="0.3">
      <c r="A102" s="1" t="s">
        <v>211</v>
      </c>
      <c r="B102" s="1" t="s">
        <v>135</v>
      </c>
      <c r="C102" s="1" t="s">
        <v>212</v>
      </c>
      <c r="D102" s="1" t="s">
        <v>122</v>
      </c>
      <c r="E102" s="1" t="s">
        <v>38</v>
      </c>
      <c r="F102" s="1" t="s">
        <v>213</v>
      </c>
      <c r="G102" s="1" t="s">
        <v>214</v>
      </c>
      <c r="H102" s="1" t="s">
        <v>25</v>
      </c>
      <c r="I102" s="1"/>
    </row>
    <row r="103" spans="1:9" x14ac:dyDescent="0.3">
      <c r="A103" s="1" t="s">
        <v>169</v>
      </c>
      <c r="B103" s="1" t="s">
        <v>135</v>
      </c>
      <c r="C103" s="1" t="s">
        <v>212</v>
      </c>
      <c r="D103" s="1" t="s">
        <v>122</v>
      </c>
      <c r="E103" s="1" t="s">
        <v>34</v>
      </c>
      <c r="F103" s="1" t="s">
        <v>105</v>
      </c>
      <c r="G103" s="1" t="s">
        <v>152</v>
      </c>
      <c r="H103" s="1" t="s">
        <v>25</v>
      </c>
      <c r="I103" s="1"/>
    </row>
    <row r="104" spans="1:9" x14ac:dyDescent="0.3">
      <c r="A104" s="1" t="s">
        <v>215</v>
      </c>
      <c r="B104" s="1" t="s">
        <v>130</v>
      </c>
      <c r="C104" s="1" t="s">
        <v>216</v>
      </c>
      <c r="D104" s="1" t="s">
        <v>122</v>
      </c>
      <c r="E104" s="1" t="s">
        <v>52</v>
      </c>
      <c r="F104" s="1" t="s">
        <v>95</v>
      </c>
      <c r="G104" s="1" t="s">
        <v>104</v>
      </c>
      <c r="H104" s="1" t="s">
        <v>25</v>
      </c>
      <c r="I104" s="1"/>
    </row>
    <row r="105" spans="1:9" x14ac:dyDescent="0.3">
      <c r="A105" s="1" t="s">
        <v>217</v>
      </c>
      <c r="B105" s="1" t="s">
        <v>130</v>
      </c>
      <c r="C105" s="1" t="s">
        <v>216</v>
      </c>
      <c r="D105" s="1" t="s">
        <v>122</v>
      </c>
      <c r="E105" s="1" t="s">
        <v>32</v>
      </c>
      <c r="F105" s="1" t="s">
        <v>115</v>
      </c>
      <c r="G105" s="1" t="s">
        <v>186</v>
      </c>
      <c r="H105" s="1" t="s">
        <v>25</v>
      </c>
      <c r="I105" s="1"/>
    </row>
    <row r="106" spans="1:9" x14ac:dyDescent="0.3">
      <c r="A106" s="1" t="s">
        <v>218</v>
      </c>
      <c r="B106" s="1" t="s">
        <v>39</v>
      </c>
      <c r="C106" s="1" t="s">
        <v>159</v>
      </c>
      <c r="D106" s="1" t="s">
        <v>67</v>
      </c>
      <c r="E106" s="1" t="s">
        <v>38</v>
      </c>
      <c r="F106" s="1" t="s">
        <v>119</v>
      </c>
      <c r="G106" s="1" t="s">
        <v>72</v>
      </c>
      <c r="H106" s="1" t="s">
        <v>25</v>
      </c>
      <c r="I106" s="1"/>
    </row>
    <row r="107" spans="1:9" x14ac:dyDescent="0.3">
      <c r="A107" s="1" t="s">
        <v>73</v>
      </c>
      <c r="B107" s="1" t="s">
        <v>19</v>
      </c>
      <c r="C107" s="1" t="s">
        <v>219</v>
      </c>
      <c r="D107" s="1" t="s">
        <v>94</v>
      </c>
      <c r="E107" s="1" t="s">
        <v>36</v>
      </c>
      <c r="F107" s="1" t="s">
        <v>80</v>
      </c>
      <c r="G107" s="1" t="s">
        <v>163</v>
      </c>
      <c r="H107" s="1" t="s">
        <v>25</v>
      </c>
      <c r="I107" s="1"/>
    </row>
    <row r="108" spans="1:9" x14ac:dyDescent="0.3">
      <c r="A108" s="1" t="s">
        <v>220</v>
      </c>
      <c r="B108" s="1" t="s">
        <v>19</v>
      </c>
      <c r="C108" s="1" t="s">
        <v>219</v>
      </c>
      <c r="D108" s="1" t="s">
        <v>94</v>
      </c>
      <c r="E108" s="1" t="s">
        <v>41</v>
      </c>
      <c r="F108" s="1" t="s">
        <v>63</v>
      </c>
      <c r="G108" s="1" t="s">
        <v>163</v>
      </c>
      <c r="H108" s="1" t="s">
        <v>25</v>
      </c>
      <c r="I108" s="1"/>
    </row>
    <row r="109" spans="1:9" x14ac:dyDescent="0.3">
      <c r="A109" s="1" t="s">
        <v>221</v>
      </c>
      <c r="B109" s="1" t="s">
        <v>222</v>
      </c>
      <c r="C109" s="1" t="s">
        <v>219</v>
      </c>
      <c r="D109" s="1" t="s">
        <v>40</v>
      </c>
      <c r="E109" s="1" t="s">
        <v>34</v>
      </c>
      <c r="F109" s="1" t="s">
        <v>194</v>
      </c>
      <c r="G109" s="1" t="s">
        <v>203</v>
      </c>
      <c r="H109" s="1" t="s">
        <v>25</v>
      </c>
      <c r="I109" s="1"/>
    </row>
    <row r="110" spans="1:9" x14ac:dyDescent="0.3">
      <c r="A110" s="1" t="s">
        <v>213</v>
      </c>
      <c r="B110" s="1" t="s">
        <v>130</v>
      </c>
      <c r="C110" s="1" t="s">
        <v>223</v>
      </c>
      <c r="D110" s="1" t="s">
        <v>94</v>
      </c>
      <c r="E110" s="1" t="s">
        <v>34</v>
      </c>
      <c r="F110" s="1" t="s">
        <v>224</v>
      </c>
      <c r="G110" s="1" t="s">
        <v>225</v>
      </c>
      <c r="H110" s="1" t="s">
        <v>25</v>
      </c>
      <c r="I110" s="1"/>
    </row>
    <row r="111" spans="1:9" x14ac:dyDescent="0.3">
      <c r="A111" s="1" t="s">
        <v>76</v>
      </c>
      <c r="B111" s="1" t="s">
        <v>158</v>
      </c>
      <c r="C111" s="1" t="s">
        <v>223</v>
      </c>
      <c r="D111" s="1" t="s">
        <v>109</v>
      </c>
      <c r="E111" s="1" t="s">
        <v>22</v>
      </c>
      <c r="F111" s="1" t="s">
        <v>226</v>
      </c>
      <c r="G111" s="1" t="s">
        <v>227</v>
      </c>
      <c r="H111" s="1" t="s">
        <v>25</v>
      </c>
      <c r="I111" s="1"/>
    </row>
    <row r="112" spans="1:9" x14ac:dyDescent="0.3">
      <c r="A112" s="1" t="s">
        <v>228</v>
      </c>
      <c r="B112" s="1" t="s">
        <v>39</v>
      </c>
      <c r="C112" s="1" t="s">
        <v>223</v>
      </c>
      <c r="D112" s="1" t="s">
        <v>167</v>
      </c>
      <c r="E112" s="1" t="s">
        <v>32</v>
      </c>
      <c r="F112" s="1" t="s">
        <v>229</v>
      </c>
      <c r="G112" s="1" t="s">
        <v>230</v>
      </c>
      <c r="H112" s="1" t="s">
        <v>25</v>
      </c>
      <c r="I112" s="1"/>
    </row>
    <row r="113" spans="1:9" x14ac:dyDescent="0.3">
      <c r="A113" s="1" t="s">
        <v>202</v>
      </c>
      <c r="B113" s="1" t="s">
        <v>130</v>
      </c>
      <c r="C113" s="1" t="s">
        <v>133</v>
      </c>
      <c r="D113" s="1" t="s">
        <v>114</v>
      </c>
      <c r="E113" s="1" t="s">
        <v>41</v>
      </c>
      <c r="F113" s="1" t="s">
        <v>189</v>
      </c>
      <c r="G113" s="1" t="s">
        <v>203</v>
      </c>
      <c r="H113" s="1" t="s">
        <v>25</v>
      </c>
      <c r="I113" s="1"/>
    </row>
    <row r="114" spans="1:9" x14ac:dyDescent="0.3">
      <c r="A114" s="1" t="s">
        <v>231</v>
      </c>
      <c r="B114" s="1" t="s">
        <v>135</v>
      </c>
      <c r="C114" s="1" t="s">
        <v>188</v>
      </c>
      <c r="D114" s="1" t="s">
        <v>94</v>
      </c>
      <c r="E114" s="1" t="s">
        <v>22</v>
      </c>
      <c r="F114" s="1" t="s">
        <v>31</v>
      </c>
      <c r="G114" s="1" t="s">
        <v>123</v>
      </c>
      <c r="H114" s="1" t="s">
        <v>25</v>
      </c>
      <c r="I114" s="1"/>
    </row>
    <row r="115" spans="1:9" x14ac:dyDescent="0.3">
      <c r="A115" s="1" t="s">
        <v>232</v>
      </c>
      <c r="B115" s="1" t="s">
        <v>135</v>
      </c>
      <c r="C115" s="1" t="s">
        <v>175</v>
      </c>
      <c r="D115" s="1" t="s">
        <v>109</v>
      </c>
      <c r="E115" s="1" t="s">
        <v>18</v>
      </c>
      <c r="F115" s="1" t="s">
        <v>79</v>
      </c>
      <c r="G115" s="1" t="s">
        <v>120</v>
      </c>
      <c r="H115" s="1" t="s">
        <v>25</v>
      </c>
      <c r="I115" s="1"/>
    </row>
    <row r="116" spans="1:9" x14ac:dyDescent="0.3">
      <c r="A116" s="1" t="s">
        <v>214</v>
      </c>
      <c r="B116" s="1" t="s">
        <v>39</v>
      </c>
      <c r="C116" s="1" t="s">
        <v>133</v>
      </c>
      <c r="D116" s="1" t="s">
        <v>21</v>
      </c>
      <c r="E116" s="1" t="s">
        <v>18</v>
      </c>
      <c r="F116" s="1" t="s">
        <v>82</v>
      </c>
      <c r="G116" s="1" t="s">
        <v>84</v>
      </c>
      <c r="H116" s="1" t="s">
        <v>25</v>
      </c>
      <c r="I116" s="1"/>
    </row>
    <row r="117" spans="1:9" x14ac:dyDescent="0.3">
      <c r="A117" s="1" t="s">
        <v>233</v>
      </c>
      <c r="B117" s="1" t="s">
        <v>158</v>
      </c>
      <c r="C117" s="1" t="s">
        <v>175</v>
      </c>
      <c r="D117" s="1" t="s">
        <v>21</v>
      </c>
      <c r="E117" s="1" t="s">
        <v>37</v>
      </c>
      <c r="F117" s="1" t="s">
        <v>49</v>
      </c>
      <c r="G117" s="1" t="s">
        <v>49</v>
      </c>
      <c r="H117" s="1" t="s">
        <v>25</v>
      </c>
      <c r="I117" s="1"/>
    </row>
    <row r="118" spans="1:9" x14ac:dyDescent="0.3">
      <c r="A118" s="1" t="s">
        <v>234</v>
      </c>
      <c r="B118" s="1" t="s">
        <v>130</v>
      </c>
      <c r="C118" s="1" t="s">
        <v>170</v>
      </c>
      <c r="D118" s="1" t="s">
        <v>21</v>
      </c>
      <c r="E118" s="1" t="s">
        <v>37</v>
      </c>
      <c r="F118" s="1" t="s">
        <v>34</v>
      </c>
      <c r="G118" s="1" t="s">
        <v>34</v>
      </c>
      <c r="H118" s="1" t="s">
        <v>25</v>
      </c>
      <c r="I118" s="1"/>
    </row>
    <row r="119" spans="1:9" x14ac:dyDescent="0.3">
      <c r="A119" s="1" t="s">
        <v>235</v>
      </c>
      <c r="B119" s="1" t="s">
        <v>130</v>
      </c>
      <c r="C119" s="1" t="s">
        <v>170</v>
      </c>
      <c r="D119" s="1" t="s">
        <v>21</v>
      </c>
      <c r="E119" s="1" t="s">
        <v>37</v>
      </c>
      <c r="F119" s="1" t="s">
        <v>26</v>
      </c>
      <c r="G119" s="1" t="s">
        <v>26</v>
      </c>
      <c r="H119" s="1" t="s">
        <v>25</v>
      </c>
      <c r="I119" s="1"/>
    </row>
    <row r="120" spans="1:9" x14ac:dyDescent="0.3">
      <c r="A120" s="1" t="s">
        <v>236</v>
      </c>
      <c r="B120" s="1" t="s">
        <v>135</v>
      </c>
      <c r="C120" s="1" t="s">
        <v>170</v>
      </c>
      <c r="D120" s="1" t="s">
        <v>40</v>
      </c>
      <c r="E120" s="1" t="s">
        <v>37</v>
      </c>
      <c r="F120" s="1" t="s">
        <v>18</v>
      </c>
      <c r="G120" s="1" t="s">
        <v>18</v>
      </c>
      <c r="H120" s="1" t="s">
        <v>25</v>
      </c>
      <c r="I120" s="1"/>
    </row>
    <row r="121" spans="1:9" x14ac:dyDescent="0.3">
      <c r="A121" s="1" t="s">
        <v>237</v>
      </c>
      <c r="B121" s="1" t="s">
        <v>153</v>
      </c>
      <c r="C121" s="1" t="s">
        <v>173</v>
      </c>
      <c r="D121" s="1" t="s">
        <v>40</v>
      </c>
      <c r="E121" s="1" t="s">
        <v>37</v>
      </c>
      <c r="F121" s="1" t="s">
        <v>34</v>
      </c>
      <c r="G121" s="1" t="s">
        <v>34</v>
      </c>
      <c r="H121" s="1" t="s">
        <v>25</v>
      </c>
      <c r="I121" s="1"/>
    </row>
    <row r="122" spans="1:9" x14ac:dyDescent="0.3">
      <c r="A122" s="1" t="s">
        <v>238</v>
      </c>
      <c r="B122" s="1" t="s">
        <v>137</v>
      </c>
      <c r="C122" s="1" t="s">
        <v>177</v>
      </c>
      <c r="D122" s="1" t="s">
        <v>167</v>
      </c>
      <c r="E122" s="1" t="s">
        <v>37</v>
      </c>
      <c r="F122" s="1" t="s">
        <v>54</v>
      </c>
      <c r="G122" s="1" t="s">
        <v>54</v>
      </c>
      <c r="H122" s="1" t="s">
        <v>25</v>
      </c>
      <c r="I122" s="1"/>
    </row>
    <row r="123" spans="1:9" x14ac:dyDescent="0.3">
      <c r="A123" s="1" t="s">
        <v>239</v>
      </c>
      <c r="B123" s="1" t="s">
        <v>130</v>
      </c>
      <c r="C123" s="1" t="s">
        <v>176</v>
      </c>
      <c r="D123" s="1" t="s">
        <v>21</v>
      </c>
      <c r="E123" s="1" t="s">
        <v>37</v>
      </c>
      <c r="F123" s="1" t="s">
        <v>206</v>
      </c>
      <c r="G123" s="1" t="s">
        <v>206</v>
      </c>
      <c r="H123" s="1" t="s">
        <v>25</v>
      </c>
      <c r="I123" s="1"/>
    </row>
    <row r="124" spans="1:9" x14ac:dyDescent="0.3">
      <c r="A124" s="1" t="s">
        <v>240</v>
      </c>
      <c r="B124" s="1" t="s">
        <v>130</v>
      </c>
      <c r="C124" s="1" t="s">
        <v>176</v>
      </c>
      <c r="D124" s="1" t="s">
        <v>21</v>
      </c>
      <c r="E124" s="1" t="s">
        <v>22</v>
      </c>
      <c r="F124" s="1" t="s">
        <v>241</v>
      </c>
      <c r="G124" s="1" t="s">
        <v>242</v>
      </c>
      <c r="H124" s="1" t="s">
        <v>25</v>
      </c>
      <c r="I124" s="1"/>
    </row>
    <row r="125" spans="1:9" x14ac:dyDescent="0.3">
      <c r="A125" s="1" t="s">
        <v>243</v>
      </c>
      <c r="B125" s="1" t="s">
        <v>158</v>
      </c>
      <c r="C125" s="1" t="s">
        <v>188</v>
      </c>
      <c r="D125" s="1" t="s">
        <v>21</v>
      </c>
      <c r="E125" s="1" t="s">
        <v>38</v>
      </c>
      <c r="F125" s="1" t="s">
        <v>233</v>
      </c>
      <c r="G125" s="1" t="s">
        <v>239</v>
      </c>
      <c r="H125" s="1" t="s">
        <v>25</v>
      </c>
      <c r="I125" s="1"/>
    </row>
    <row r="126" spans="1:9" x14ac:dyDescent="0.3">
      <c r="A126" s="1" t="s">
        <v>244</v>
      </c>
      <c r="B126" s="1" t="s">
        <v>39</v>
      </c>
      <c r="C126" s="1" t="s">
        <v>133</v>
      </c>
      <c r="D126" s="1" t="s">
        <v>21</v>
      </c>
      <c r="E126" s="1" t="s">
        <v>22</v>
      </c>
      <c r="F126" s="1" t="s">
        <v>120</v>
      </c>
      <c r="G126" s="1" t="s">
        <v>129</v>
      </c>
      <c r="H126" s="1" t="s">
        <v>25</v>
      </c>
      <c r="I126" s="1"/>
    </row>
    <row r="127" spans="1:9" x14ac:dyDescent="0.3">
      <c r="A127" s="1" t="s">
        <v>245</v>
      </c>
      <c r="B127" s="1" t="s">
        <v>39</v>
      </c>
      <c r="C127" s="1" t="s">
        <v>131</v>
      </c>
      <c r="D127" s="1" t="s">
        <v>40</v>
      </c>
      <c r="E127" s="1" t="s">
        <v>26</v>
      </c>
      <c r="F127" s="1" t="s">
        <v>152</v>
      </c>
      <c r="G127" s="1" t="s">
        <v>113</v>
      </c>
      <c r="H127" s="1" t="s">
        <v>25</v>
      </c>
      <c r="I127" s="1"/>
    </row>
    <row r="128" spans="1:9" x14ac:dyDescent="0.3">
      <c r="A128" s="1" t="s">
        <v>229</v>
      </c>
      <c r="B128" s="1" t="s">
        <v>19</v>
      </c>
      <c r="C128" s="1" t="s">
        <v>155</v>
      </c>
      <c r="D128" s="1" t="s">
        <v>21</v>
      </c>
      <c r="E128" s="1" t="s">
        <v>38</v>
      </c>
      <c r="F128" s="1" t="s">
        <v>183</v>
      </c>
      <c r="G128" s="1" t="s">
        <v>64</v>
      </c>
      <c r="H128" s="1" t="s">
        <v>25</v>
      </c>
      <c r="I128" s="1"/>
    </row>
    <row r="129" spans="1:9" x14ac:dyDescent="0.3">
      <c r="A129" s="1" t="s">
        <v>246</v>
      </c>
      <c r="B129" s="1" t="s">
        <v>27</v>
      </c>
      <c r="C129" s="1" t="s">
        <v>155</v>
      </c>
      <c r="D129" s="1" t="s">
        <v>167</v>
      </c>
      <c r="E129" s="1" t="s">
        <v>52</v>
      </c>
      <c r="F129" s="1" t="s">
        <v>63</v>
      </c>
      <c r="G129" s="1" t="s">
        <v>83</v>
      </c>
      <c r="H129" s="1" t="s">
        <v>25</v>
      </c>
      <c r="I129" s="1"/>
    </row>
    <row r="130" spans="1:9" x14ac:dyDescent="0.3">
      <c r="A130" s="1" t="s">
        <v>247</v>
      </c>
      <c r="B130" s="1" t="s">
        <v>27</v>
      </c>
      <c r="C130" s="1" t="s">
        <v>248</v>
      </c>
      <c r="D130" s="1" t="s">
        <v>114</v>
      </c>
      <c r="E130" s="1" t="s">
        <v>49</v>
      </c>
      <c r="F130" s="1" t="s">
        <v>113</v>
      </c>
      <c r="G130" s="1" t="s">
        <v>75</v>
      </c>
      <c r="H130" s="1" t="s">
        <v>25</v>
      </c>
      <c r="I130" s="1"/>
    </row>
    <row r="131" spans="1:9" x14ac:dyDescent="0.3">
      <c r="A131" s="1" t="s">
        <v>249</v>
      </c>
      <c r="B131" s="1" t="s">
        <v>27</v>
      </c>
      <c r="C131" s="1" t="s">
        <v>248</v>
      </c>
      <c r="D131" s="1" t="s">
        <v>21</v>
      </c>
      <c r="E131" s="1" t="s">
        <v>29</v>
      </c>
      <c r="F131" s="1" t="s">
        <v>106</v>
      </c>
      <c r="G131" s="1" t="s">
        <v>163</v>
      </c>
      <c r="H131" s="1" t="s">
        <v>25</v>
      </c>
      <c r="I131" s="1"/>
    </row>
    <row r="132" spans="1:9" x14ac:dyDescent="0.3">
      <c r="A132" s="1" t="s">
        <v>250</v>
      </c>
      <c r="B132" s="1" t="s">
        <v>39</v>
      </c>
      <c r="C132" s="1" t="s">
        <v>223</v>
      </c>
      <c r="D132" s="1" t="s">
        <v>114</v>
      </c>
      <c r="E132" s="1" t="s">
        <v>52</v>
      </c>
      <c r="F132" s="1" t="s">
        <v>115</v>
      </c>
      <c r="G132" s="1" t="s">
        <v>196</v>
      </c>
      <c r="H132" s="1" t="s">
        <v>25</v>
      </c>
      <c r="I132" s="1"/>
    </row>
    <row r="133" spans="1:9" x14ac:dyDescent="0.3">
      <c r="A133" s="1" t="s">
        <v>230</v>
      </c>
      <c r="B133" s="1" t="s">
        <v>130</v>
      </c>
      <c r="C133" s="1" t="s">
        <v>188</v>
      </c>
      <c r="D133" s="1" t="s">
        <v>114</v>
      </c>
      <c r="E133" s="1" t="s">
        <v>43</v>
      </c>
      <c r="F133" s="1" t="s">
        <v>251</v>
      </c>
      <c r="G133" s="1" t="s">
        <v>252</v>
      </c>
      <c r="H133" s="1" t="s">
        <v>25</v>
      </c>
      <c r="I133" s="1"/>
    </row>
    <row r="134" spans="1:9" x14ac:dyDescent="0.3">
      <c r="A134" s="1" t="s">
        <v>253</v>
      </c>
      <c r="B134" s="1" t="s">
        <v>130</v>
      </c>
      <c r="C134" s="1" t="s">
        <v>188</v>
      </c>
      <c r="D134" s="1" t="s">
        <v>109</v>
      </c>
      <c r="E134" s="1" t="s">
        <v>32</v>
      </c>
      <c r="F134" s="1" t="s">
        <v>254</v>
      </c>
      <c r="G134" s="1" t="s">
        <v>251</v>
      </c>
      <c r="H134" s="1" t="s">
        <v>25</v>
      </c>
      <c r="I134" s="1"/>
    </row>
    <row r="135" spans="1:9" x14ac:dyDescent="0.3">
      <c r="A135" s="1" t="s">
        <v>255</v>
      </c>
      <c r="B135" s="1" t="s">
        <v>39</v>
      </c>
      <c r="C135" s="1" t="s">
        <v>175</v>
      </c>
      <c r="D135" s="1" t="s">
        <v>40</v>
      </c>
      <c r="E135" s="1" t="s">
        <v>22</v>
      </c>
      <c r="F135" s="1" t="s">
        <v>213</v>
      </c>
      <c r="G135" s="1" t="s">
        <v>202</v>
      </c>
      <c r="H135" s="1" t="s">
        <v>25</v>
      </c>
      <c r="I135" s="1"/>
    </row>
    <row r="136" spans="1:9" x14ac:dyDescent="0.3">
      <c r="A136" s="1" t="s">
        <v>256</v>
      </c>
      <c r="B136" s="1" t="s">
        <v>132</v>
      </c>
      <c r="C136" s="1" t="s">
        <v>188</v>
      </c>
      <c r="D136" s="1" t="s">
        <v>114</v>
      </c>
      <c r="E136" s="1" t="s">
        <v>22</v>
      </c>
      <c r="F136" s="1" t="s">
        <v>160</v>
      </c>
      <c r="G136" s="1" t="s">
        <v>174</v>
      </c>
      <c r="H136" s="1" t="s">
        <v>25</v>
      </c>
      <c r="I136" s="1"/>
    </row>
    <row r="137" spans="1:9" x14ac:dyDescent="0.3">
      <c r="A137" s="1" t="s">
        <v>257</v>
      </c>
      <c r="B137" s="1" t="s">
        <v>132</v>
      </c>
      <c r="C137" s="1" t="s">
        <v>175</v>
      </c>
      <c r="D137" s="1" t="s">
        <v>98</v>
      </c>
      <c r="E137" s="1" t="s">
        <v>37</v>
      </c>
      <c r="F137" s="1" t="s">
        <v>134</v>
      </c>
      <c r="G137" s="1" t="s">
        <v>134</v>
      </c>
      <c r="H137" s="1" t="s">
        <v>25</v>
      </c>
      <c r="I137" s="1"/>
    </row>
    <row r="138" spans="1:9" x14ac:dyDescent="0.3">
      <c r="A138" s="1" t="s">
        <v>258</v>
      </c>
      <c r="B138" s="1" t="s">
        <v>132</v>
      </c>
      <c r="C138" s="1" t="s">
        <v>188</v>
      </c>
      <c r="D138" s="1" t="s">
        <v>56</v>
      </c>
      <c r="E138" s="1" t="s">
        <v>18</v>
      </c>
      <c r="F138" s="1" t="s">
        <v>142</v>
      </c>
      <c r="G138" s="1" t="s">
        <v>80</v>
      </c>
      <c r="H138" s="1" t="s">
        <v>25</v>
      </c>
      <c r="I138" s="1"/>
    </row>
    <row r="139" spans="1:9" x14ac:dyDescent="0.3">
      <c r="A139" s="1" t="s">
        <v>259</v>
      </c>
      <c r="B139" s="1" t="s">
        <v>135</v>
      </c>
      <c r="C139" s="1" t="s">
        <v>176</v>
      </c>
      <c r="D139" s="1" t="s">
        <v>94</v>
      </c>
      <c r="E139" s="1" t="s">
        <v>34</v>
      </c>
      <c r="F139" s="1" t="s">
        <v>84</v>
      </c>
      <c r="G139" s="1" t="s">
        <v>96</v>
      </c>
      <c r="H139" s="1" t="s">
        <v>25</v>
      </c>
      <c r="I139" s="1"/>
    </row>
    <row r="140" spans="1:9" x14ac:dyDescent="0.3">
      <c r="A140" s="1" t="s">
        <v>260</v>
      </c>
      <c r="B140" s="1" t="s">
        <v>135</v>
      </c>
      <c r="C140" s="1" t="s">
        <v>170</v>
      </c>
      <c r="D140" s="1" t="s">
        <v>94</v>
      </c>
      <c r="E140" s="1" t="s">
        <v>34</v>
      </c>
      <c r="F140" s="1" t="s">
        <v>23</v>
      </c>
      <c r="G140" s="1" t="s">
        <v>77</v>
      </c>
      <c r="H140" s="1" t="s">
        <v>25</v>
      </c>
      <c r="I140" s="1"/>
    </row>
    <row r="141" spans="1:9" x14ac:dyDescent="0.3">
      <c r="A141" s="1" t="s">
        <v>261</v>
      </c>
      <c r="B141" s="1" t="s">
        <v>135</v>
      </c>
      <c r="C141" s="1" t="s">
        <v>173</v>
      </c>
      <c r="D141" s="1" t="s">
        <v>98</v>
      </c>
      <c r="E141" s="1" t="s">
        <v>26</v>
      </c>
      <c r="F141" s="1" t="s">
        <v>32</v>
      </c>
      <c r="G141" s="1" t="s">
        <v>41</v>
      </c>
      <c r="H141" s="1" t="s">
        <v>25</v>
      </c>
      <c r="I141" s="1"/>
    </row>
    <row r="142" spans="1:9" x14ac:dyDescent="0.3">
      <c r="A142" s="1" t="s">
        <v>262</v>
      </c>
      <c r="B142" s="1" t="s">
        <v>135</v>
      </c>
      <c r="C142" s="1" t="s">
        <v>173</v>
      </c>
      <c r="D142" s="1" t="s">
        <v>98</v>
      </c>
      <c r="E142" s="1" t="s">
        <v>37</v>
      </c>
      <c r="F142" s="1" t="s">
        <v>18</v>
      </c>
      <c r="G142" s="1" t="s">
        <v>18</v>
      </c>
      <c r="H142" s="1" t="s">
        <v>25</v>
      </c>
      <c r="I142" s="1"/>
    </row>
    <row r="143" spans="1:9" x14ac:dyDescent="0.3">
      <c r="A143" s="1" t="s">
        <v>263</v>
      </c>
      <c r="B143" s="1" t="s">
        <v>132</v>
      </c>
      <c r="C143" s="1" t="s">
        <v>173</v>
      </c>
      <c r="D143" s="1" t="s">
        <v>109</v>
      </c>
      <c r="E143" s="1" t="s">
        <v>37</v>
      </c>
      <c r="F143" s="1" t="s">
        <v>18</v>
      </c>
      <c r="G143" s="1" t="s">
        <v>18</v>
      </c>
      <c r="H143" s="1" t="s">
        <v>25</v>
      </c>
      <c r="I143" s="1"/>
    </row>
    <row r="144" spans="1:9" x14ac:dyDescent="0.3">
      <c r="A144" s="1" t="s">
        <v>264</v>
      </c>
      <c r="B144" s="1" t="s">
        <v>27</v>
      </c>
      <c r="C144" s="1" t="s">
        <v>175</v>
      </c>
      <c r="D144" s="1" t="s">
        <v>21</v>
      </c>
      <c r="E144" s="1" t="s">
        <v>37</v>
      </c>
      <c r="F144" s="1" t="s">
        <v>32</v>
      </c>
      <c r="G144" s="1" t="s">
        <v>32</v>
      </c>
      <c r="H144" s="1" t="s">
        <v>25</v>
      </c>
      <c r="I144" s="1"/>
    </row>
    <row r="145" spans="1:9" x14ac:dyDescent="0.3">
      <c r="A145" s="1" t="s">
        <v>265</v>
      </c>
      <c r="B145" s="1" t="s">
        <v>39</v>
      </c>
      <c r="C145" s="1" t="s">
        <v>173</v>
      </c>
      <c r="D145" s="1" t="s">
        <v>21</v>
      </c>
      <c r="E145" s="1" t="s">
        <v>29</v>
      </c>
      <c r="F145" s="1" t="s">
        <v>57</v>
      </c>
      <c r="G145" s="1" t="s">
        <v>95</v>
      </c>
      <c r="H145" s="1" t="s">
        <v>25</v>
      </c>
      <c r="I145" s="1"/>
    </row>
    <row r="146" spans="1:9" x14ac:dyDescent="0.3">
      <c r="A146" s="1" t="s">
        <v>266</v>
      </c>
      <c r="B146" s="1" t="s">
        <v>132</v>
      </c>
      <c r="C146" s="1" t="s">
        <v>173</v>
      </c>
      <c r="D146" s="1" t="s">
        <v>109</v>
      </c>
      <c r="E146" s="1" t="s">
        <v>29</v>
      </c>
      <c r="F146" s="1" t="s">
        <v>116</v>
      </c>
      <c r="G146" s="1" t="s">
        <v>64</v>
      </c>
      <c r="H146" s="1" t="s">
        <v>25</v>
      </c>
      <c r="I146" s="1"/>
    </row>
    <row r="147" spans="1:9" x14ac:dyDescent="0.3">
      <c r="A147" s="1" t="s">
        <v>164</v>
      </c>
      <c r="B147" s="1" t="s">
        <v>135</v>
      </c>
      <c r="C147" s="1" t="s">
        <v>188</v>
      </c>
      <c r="D147" s="1" t="s">
        <v>51</v>
      </c>
      <c r="E147" s="1" t="s">
        <v>86</v>
      </c>
      <c r="F147" s="1" t="s">
        <v>225</v>
      </c>
      <c r="G147" s="1" t="s">
        <v>267</v>
      </c>
      <c r="H147" s="1" t="s">
        <v>25</v>
      </c>
      <c r="I147" s="1"/>
    </row>
    <row r="148" spans="1:9" x14ac:dyDescent="0.3">
      <c r="A148" s="1" t="s">
        <v>268</v>
      </c>
      <c r="B148" s="1" t="s">
        <v>153</v>
      </c>
      <c r="C148" s="1" t="s">
        <v>133</v>
      </c>
      <c r="D148" s="1" t="s">
        <v>67</v>
      </c>
      <c r="E148" s="1" t="s">
        <v>43</v>
      </c>
      <c r="F148" s="1" t="s">
        <v>244</v>
      </c>
      <c r="G148" s="1" t="s">
        <v>255</v>
      </c>
      <c r="H148" s="1" t="s">
        <v>25</v>
      </c>
      <c r="I148" s="1"/>
    </row>
    <row r="149" spans="1:9" x14ac:dyDescent="0.3">
      <c r="A149" s="1" t="s">
        <v>168</v>
      </c>
      <c r="B149" s="1" t="s">
        <v>135</v>
      </c>
      <c r="C149" s="1" t="s">
        <v>212</v>
      </c>
      <c r="D149" s="1" t="s">
        <v>122</v>
      </c>
      <c r="E149" s="1" t="s">
        <v>24</v>
      </c>
      <c r="F149" s="1" t="s">
        <v>68</v>
      </c>
      <c r="G149" s="1" t="s">
        <v>145</v>
      </c>
      <c r="H149" s="1" t="s">
        <v>25</v>
      </c>
      <c r="I149" s="1"/>
    </row>
    <row r="150" spans="1:9" x14ac:dyDescent="0.3">
      <c r="A150" s="1" t="s">
        <v>269</v>
      </c>
      <c r="B150" s="1" t="s">
        <v>135</v>
      </c>
      <c r="C150" s="1" t="s">
        <v>154</v>
      </c>
      <c r="D150" s="1" t="s">
        <v>98</v>
      </c>
      <c r="E150" s="1" t="s">
        <v>84</v>
      </c>
      <c r="F150" s="1" t="s">
        <v>134</v>
      </c>
      <c r="G150" s="1" t="s">
        <v>83</v>
      </c>
      <c r="H150" s="1" t="s">
        <v>25</v>
      </c>
      <c r="I150" s="1"/>
    </row>
    <row r="151" spans="1:9" x14ac:dyDescent="0.3">
      <c r="A151" s="1" t="s">
        <v>270</v>
      </c>
      <c r="B151" s="1" t="s">
        <v>135</v>
      </c>
      <c r="C151" s="1" t="s">
        <v>212</v>
      </c>
      <c r="D151" s="1" t="s">
        <v>51</v>
      </c>
      <c r="E151" s="1" t="s">
        <v>43</v>
      </c>
      <c r="F151" s="1" t="s">
        <v>139</v>
      </c>
      <c r="G151" s="1" t="s">
        <v>113</v>
      </c>
      <c r="H151" s="1" t="s">
        <v>25</v>
      </c>
      <c r="I151" s="1"/>
    </row>
    <row r="152" spans="1:9" x14ac:dyDescent="0.3">
      <c r="A152" s="1" t="s">
        <v>271</v>
      </c>
      <c r="B152" s="1" t="s">
        <v>153</v>
      </c>
      <c r="C152" s="1" t="s">
        <v>212</v>
      </c>
      <c r="D152" s="1" t="s">
        <v>56</v>
      </c>
      <c r="E152" s="1" t="s">
        <v>43</v>
      </c>
      <c r="F152" s="1" t="s">
        <v>110</v>
      </c>
      <c r="G152" s="1" t="s">
        <v>108</v>
      </c>
      <c r="H152" s="1" t="s">
        <v>25</v>
      </c>
      <c r="I152" s="1"/>
    </row>
    <row r="153" spans="1:9" x14ac:dyDescent="0.3">
      <c r="A153" s="1" t="s">
        <v>272</v>
      </c>
      <c r="B153" s="1" t="s">
        <v>135</v>
      </c>
      <c r="C153" s="1" t="s">
        <v>154</v>
      </c>
      <c r="D153" s="1" t="s">
        <v>51</v>
      </c>
      <c r="E153" s="1" t="s">
        <v>41</v>
      </c>
      <c r="F153" s="1" t="s">
        <v>123</v>
      </c>
      <c r="G153" s="1" t="s">
        <v>139</v>
      </c>
      <c r="H153" s="1" t="s">
        <v>25</v>
      </c>
      <c r="I153" s="1"/>
    </row>
    <row r="154" spans="1:9" x14ac:dyDescent="0.3">
      <c r="A154" s="1" t="s">
        <v>147</v>
      </c>
      <c r="B154" s="1" t="s">
        <v>132</v>
      </c>
      <c r="C154" s="1" t="s">
        <v>212</v>
      </c>
      <c r="D154" s="1" t="s">
        <v>114</v>
      </c>
      <c r="E154" s="1" t="s">
        <v>43</v>
      </c>
      <c r="F154" s="1" t="s">
        <v>145</v>
      </c>
      <c r="G154" s="1" t="s">
        <v>162</v>
      </c>
      <c r="H154" s="1" t="s">
        <v>25</v>
      </c>
      <c r="I154" s="1"/>
    </row>
    <row r="155" spans="1:9" x14ac:dyDescent="0.3">
      <c r="A155" s="1" t="s">
        <v>148</v>
      </c>
      <c r="B155" s="1" t="s">
        <v>132</v>
      </c>
      <c r="C155" s="1" t="s">
        <v>212</v>
      </c>
      <c r="D155" s="1" t="s">
        <v>114</v>
      </c>
      <c r="E155" s="1" t="s">
        <v>32</v>
      </c>
      <c r="F155" s="1" t="s">
        <v>189</v>
      </c>
      <c r="G155" s="1" t="s">
        <v>200</v>
      </c>
      <c r="H155" s="1" t="s">
        <v>25</v>
      </c>
      <c r="I155" s="1"/>
    </row>
    <row r="156" spans="1:9" x14ac:dyDescent="0.3">
      <c r="A156" s="1" t="s">
        <v>273</v>
      </c>
      <c r="B156" s="1" t="s">
        <v>39</v>
      </c>
      <c r="C156" s="1" t="s">
        <v>212</v>
      </c>
      <c r="D156" s="1" t="s">
        <v>21</v>
      </c>
      <c r="E156" s="1" t="s">
        <v>43</v>
      </c>
      <c r="F156" s="1" t="s">
        <v>274</v>
      </c>
      <c r="G156" s="1" t="s">
        <v>275</v>
      </c>
      <c r="H156" s="1" t="s">
        <v>25</v>
      </c>
      <c r="I156" s="1"/>
    </row>
    <row r="157" spans="1:9" x14ac:dyDescent="0.3">
      <c r="A157" s="1" t="s">
        <v>276</v>
      </c>
      <c r="B157" s="1" t="s">
        <v>130</v>
      </c>
      <c r="C157" s="1" t="s">
        <v>154</v>
      </c>
      <c r="D157" s="1" t="s">
        <v>40</v>
      </c>
      <c r="E157" s="1" t="s">
        <v>41</v>
      </c>
      <c r="F157" s="1" t="s">
        <v>233</v>
      </c>
      <c r="G157" s="1" t="s">
        <v>240</v>
      </c>
      <c r="H157" s="1" t="s">
        <v>25</v>
      </c>
      <c r="I157" s="1"/>
    </row>
    <row r="158" spans="1:9" x14ac:dyDescent="0.3">
      <c r="A158" s="1" t="s">
        <v>165</v>
      </c>
      <c r="B158" s="1" t="s">
        <v>135</v>
      </c>
      <c r="C158" s="1" t="s">
        <v>175</v>
      </c>
      <c r="D158" s="1" t="s">
        <v>40</v>
      </c>
      <c r="E158" s="1" t="s">
        <v>22</v>
      </c>
      <c r="F158" s="1" t="s">
        <v>180</v>
      </c>
      <c r="G158" s="1" t="s">
        <v>206</v>
      </c>
      <c r="H158" s="1" t="s">
        <v>25</v>
      </c>
      <c r="I158" s="1"/>
    </row>
    <row r="159" spans="1:9" x14ac:dyDescent="0.3">
      <c r="A159" s="1" t="s">
        <v>254</v>
      </c>
      <c r="B159" s="1" t="s">
        <v>132</v>
      </c>
      <c r="C159" s="1" t="s">
        <v>133</v>
      </c>
      <c r="D159" s="1" t="s">
        <v>167</v>
      </c>
      <c r="E159" s="1" t="s">
        <v>18</v>
      </c>
      <c r="F159" s="1" t="s">
        <v>139</v>
      </c>
      <c r="G159" s="1" t="s">
        <v>142</v>
      </c>
      <c r="H159" s="1" t="s">
        <v>25</v>
      </c>
      <c r="I159" s="1"/>
    </row>
    <row r="160" spans="1:9" x14ac:dyDescent="0.3">
      <c r="A160" s="1" t="s">
        <v>277</v>
      </c>
      <c r="B160" s="1" t="s">
        <v>135</v>
      </c>
      <c r="C160" s="1" t="s">
        <v>133</v>
      </c>
      <c r="D160" s="1" t="s">
        <v>109</v>
      </c>
      <c r="E160" s="1" t="s">
        <v>37</v>
      </c>
      <c r="F160" s="1" t="s">
        <v>100</v>
      </c>
      <c r="G160" s="1" t="s">
        <v>100</v>
      </c>
      <c r="H160" s="1" t="s">
        <v>25</v>
      </c>
      <c r="I160" s="1"/>
    </row>
    <row r="161" spans="1:9" x14ac:dyDescent="0.3">
      <c r="A161" s="1" t="s">
        <v>278</v>
      </c>
      <c r="B161" s="1" t="s">
        <v>135</v>
      </c>
      <c r="C161" s="1" t="s">
        <v>149</v>
      </c>
      <c r="D161" s="1" t="s">
        <v>114</v>
      </c>
      <c r="E161" s="1" t="s">
        <v>26</v>
      </c>
      <c r="F161" s="1" t="s">
        <v>95</v>
      </c>
      <c r="G161" s="1" t="s">
        <v>54</v>
      </c>
      <c r="H161" s="1" t="s">
        <v>25</v>
      </c>
      <c r="I161" s="1"/>
    </row>
    <row r="162" spans="1:9" x14ac:dyDescent="0.3">
      <c r="A162" s="1" t="s">
        <v>279</v>
      </c>
      <c r="B162" s="1" t="s">
        <v>135</v>
      </c>
      <c r="C162" s="1" t="s">
        <v>188</v>
      </c>
      <c r="D162" s="1" t="s">
        <v>114</v>
      </c>
      <c r="E162" s="1" t="s">
        <v>18</v>
      </c>
      <c r="F162" s="1" t="s">
        <v>48</v>
      </c>
      <c r="G162" s="1" t="s">
        <v>70</v>
      </c>
      <c r="H162" s="1" t="s">
        <v>25</v>
      </c>
      <c r="I162" s="1"/>
    </row>
    <row r="163" spans="1:9" x14ac:dyDescent="0.3">
      <c r="A163" s="1" t="s">
        <v>280</v>
      </c>
      <c r="B163" s="1" t="s">
        <v>135</v>
      </c>
      <c r="C163" s="1" t="s">
        <v>188</v>
      </c>
      <c r="D163" s="1" t="s">
        <v>114</v>
      </c>
      <c r="E163" s="1" t="s">
        <v>18</v>
      </c>
      <c r="F163" s="1" t="s">
        <v>53</v>
      </c>
      <c r="G163" s="1" t="s">
        <v>92</v>
      </c>
      <c r="H163" s="1" t="s">
        <v>25</v>
      </c>
      <c r="I163" s="1"/>
    </row>
    <row r="164" spans="1:9" x14ac:dyDescent="0.3">
      <c r="A164" s="1" t="s">
        <v>251</v>
      </c>
      <c r="B164" s="1" t="s">
        <v>132</v>
      </c>
      <c r="C164" s="1" t="s">
        <v>175</v>
      </c>
      <c r="D164" s="1" t="s">
        <v>40</v>
      </c>
      <c r="E164" s="1" t="s">
        <v>18</v>
      </c>
      <c r="F164" s="1" t="s">
        <v>70</v>
      </c>
      <c r="G164" s="1" t="s">
        <v>24</v>
      </c>
      <c r="H164" s="1" t="s">
        <v>25</v>
      </c>
      <c r="I164" s="1"/>
    </row>
    <row r="165" spans="1:9" x14ac:dyDescent="0.3">
      <c r="A165" s="1" t="s">
        <v>281</v>
      </c>
      <c r="B165" s="1" t="s">
        <v>158</v>
      </c>
      <c r="C165" s="1" t="s">
        <v>175</v>
      </c>
      <c r="D165" s="1" t="s">
        <v>21</v>
      </c>
      <c r="E165" s="1" t="s">
        <v>22</v>
      </c>
      <c r="F165" s="1" t="s">
        <v>23</v>
      </c>
      <c r="G165" s="1" t="s">
        <v>24</v>
      </c>
      <c r="H165" s="1" t="s">
        <v>25</v>
      </c>
      <c r="I165" s="1"/>
    </row>
    <row r="166" spans="1:9" x14ac:dyDescent="0.3">
      <c r="A166" s="1" t="s">
        <v>282</v>
      </c>
      <c r="B166" s="1" t="s">
        <v>135</v>
      </c>
      <c r="C166" s="1" t="s">
        <v>175</v>
      </c>
      <c r="D166" s="1" t="s">
        <v>114</v>
      </c>
      <c r="E166" s="1" t="s">
        <v>37</v>
      </c>
      <c r="F166" s="1" t="s">
        <v>41</v>
      </c>
      <c r="G166" s="1" t="s">
        <v>41</v>
      </c>
      <c r="H166" s="1" t="s">
        <v>25</v>
      </c>
      <c r="I166" s="1"/>
    </row>
    <row r="167" spans="1:9" x14ac:dyDescent="0.3">
      <c r="A167" s="1" t="s">
        <v>226</v>
      </c>
      <c r="B167" s="1" t="s">
        <v>135</v>
      </c>
      <c r="C167" s="1" t="s">
        <v>175</v>
      </c>
      <c r="D167" s="1" t="s">
        <v>114</v>
      </c>
      <c r="E167" s="1" t="s">
        <v>37</v>
      </c>
      <c r="F167" s="1" t="s">
        <v>18</v>
      </c>
      <c r="G167" s="1" t="s">
        <v>18</v>
      </c>
      <c r="H167" s="1" t="s">
        <v>25</v>
      </c>
      <c r="I167" s="1"/>
    </row>
    <row r="168" spans="1:9" x14ac:dyDescent="0.3">
      <c r="A168" s="1" t="s">
        <v>283</v>
      </c>
      <c r="B168" s="1" t="s">
        <v>137</v>
      </c>
      <c r="C168" s="1" t="s">
        <v>179</v>
      </c>
      <c r="D168" s="1" t="s">
        <v>114</v>
      </c>
      <c r="E168" s="1" t="s">
        <v>37</v>
      </c>
      <c r="F168" s="1" t="s">
        <v>32</v>
      </c>
      <c r="G168" s="1" t="s">
        <v>32</v>
      </c>
      <c r="H168" s="1" t="s">
        <v>25</v>
      </c>
      <c r="I168" s="1"/>
    </row>
    <row r="169" spans="1:9" x14ac:dyDescent="0.3">
      <c r="A169" s="1" t="s">
        <v>284</v>
      </c>
      <c r="B169" s="1" t="s">
        <v>137</v>
      </c>
      <c r="C169" s="1" t="s">
        <v>179</v>
      </c>
      <c r="D169" s="1" t="s">
        <v>114</v>
      </c>
      <c r="E169" s="1" t="s">
        <v>37</v>
      </c>
      <c r="F169" s="1" t="s">
        <v>26</v>
      </c>
      <c r="G169" s="1" t="s">
        <v>26</v>
      </c>
      <c r="H169" s="1" t="s">
        <v>25</v>
      </c>
      <c r="I169" s="1"/>
    </row>
    <row r="170" spans="1:9" x14ac:dyDescent="0.3">
      <c r="A170" s="1" t="s">
        <v>227</v>
      </c>
      <c r="B170" s="1" t="s">
        <v>153</v>
      </c>
      <c r="C170" s="1" t="s">
        <v>179</v>
      </c>
      <c r="D170" s="1" t="s">
        <v>167</v>
      </c>
      <c r="E170" s="1" t="s">
        <v>18</v>
      </c>
      <c r="F170" s="1" t="s">
        <v>29</v>
      </c>
      <c r="G170" s="1" t="s">
        <v>43</v>
      </c>
      <c r="H170" s="1" t="s">
        <v>25</v>
      </c>
      <c r="I170" s="1"/>
    </row>
    <row r="171" spans="1:9" x14ac:dyDescent="0.3">
      <c r="A171" s="1" t="s">
        <v>285</v>
      </c>
      <c r="B171" s="1" t="s">
        <v>153</v>
      </c>
      <c r="C171" s="1" t="s">
        <v>286</v>
      </c>
      <c r="D171" s="1" t="s">
        <v>167</v>
      </c>
      <c r="E171" s="1" t="s">
        <v>37</v>
      </c>
      <c r="F171" s="1" t="s">
        <v>70</v>
      </c>
      <c r="G171" s="1" t="s">
        <v>70</v>
      </c>
      <c r="H171" s="1" t="s">
        <v>25</v>
      </c>
      <c r="I171" s="1"/>
    </row>
    <row r="172" spans="1:9" x14ac:dyDescent="0.3">
      <c r="A172" s="1" t="s">
        <v>287</v>
      </c>
      <c r="B172" s="1" t="s">
        <v>153</v>
      </c>
      <c r="C172" s="1" t="s">
        <v>286</v>
      </c>
      <c r="D172" s="1" t="s">
        <v>167</v>
      </c>
      <c r="E172" s="1" t="s">
        <v>37</v>
      </c>
      <c r="F172" s="1" t="s">
        <v>86</v>
      </c>
      <c r="G172" s="1" t="s">
        <v>86</v>
      </c>
      <c r="H172" s="1" t="s">
        <v>25</v>
      </c>
      <c r="I172" s="1"/>
    </row>
    <row r="173" spans="1:9" x14ac:dyDescent="0.3">
      <c r="A173" s="1" t="s">
        <v>252</v>
      </c>
      <c r="B173" s="1" t="s">
        <v>135</v>
      </c>
      <c r="C173" s="1" t="s">
        <v>28</v>
      </c>
      <c r="D173" s="1" t="s">
        <v>114</v>
      </c>
      <c r="E173" s="1" t="s">
        <v>32</v>
      </c>
      <c r="F173" s="1" t="s">
        <v>59</v>
      </c>
      <c r="G173" s="1" t="s">
        <v>156</v>
      </c>
      <c r="H173" s="1" t="s">
        <v>25</v>
      </c>
      <c r="I173" s="1"/>
    </row>
    <row r="174" spans="1:9" x14ac:dyDescent="0.3">
      <c r="A174" s="1" t="s">
        <v>288</v>
      </c>
      <c r="B174" s="1" t="s">
        <v>153</v>
      </c>
      <c r="C174" s="1" t="s">
        <v>173</v>
      </c>
      <c r="D174" s="1" t="s">
        <v>141</v>
      </c>
      <c r="E174" s="1" t="s">
        <v>26</v>
      </c>
      <c r="F174" s="1" t="s">
        <v>157</v>
      </c>
      <c r="G174" s="1" t="s">
        <v>163</v>
      </c>
      <c r="H174" s="1" t="s">
        <v>25</v>
      </c>
      <c r="I174" s="1"/>
    </row>
    <row r="175" spans="1:9" x14ac:dyDescent="0.3">
      <c r="A175" s="1" t="s">
        <v>289</v>
      </c>
      <c r="B175" s="1" t="s">
        <v>153</v>
      </c>
      <c r="C175" s="1" t="s">
        <v>176</v>
      </c>
      <c r="D175" s="1" t="s">
        <v>128</v>
      </c>
      <c r="E175" s="1" t="s">
        <v>29</v>
      </c>
      <c r="F175" s="1" t="s">
        <v>204</v>
      </c>
      <c r="G175" s="1" t="s">
        <v>184</v>
      </c>
      <c r="H175" s="1" t="s">
        <v>25</v>
      </c>
      <c r="I175" s="1"/>
    </row>
    <row r="176" spans="1:9" x14ac:dyDescent="0.3">
      <c r="A176" s="1" t="s">
        <v>290</v>
      </c>
      <c r="B176" s="1" t="s">
        <v>153</v>
      </c>
      <c r="C176" s="1" t="s">
        <v>131</v>
      </c>
      <c r="D176" s="1" t="s">
        <v>122</v>
      </c>
      <c r="E176" s="1" t="s">
        <v>41</v>
      </c>
      <c r="F176" s="1" t="s">
        <v>206</v>
      </c>
      <c r="G176" s="1" t="s">
        <v>169</v>
      </c>
      <c r="H176" s="1" t="s">
        <v>25</v>
      </c>
      <c r="I176" s="1"/>
    </row>
    <row r="177" spans="1:9" x14ac:dyDescent="0.3">
      <c r="A177" s="1" t="s">
        <v>291</v>
      </c>
      <c r="B177" s="1" t="s">
        <v>137</v>
      </c>
      <c r="C177" s="1" t="s">
        <v>166</v>
      </c>
      <c r="D177" s="1" t="s">
        <v>292</v>
      </c>
      <c r="E177" s="1" t="s">
        <v>52</v>
      </c>
      <c r="F177" s="1" t="s">
        <v>192</v>
      </c>
      <c r="G177" s="1" t="s">
        <v>206</v>
      </c>
      <c r="H177" s="1" t="s">
        <v>25</v>
      </c>
      <c r="I177" s="1"/>
    </row>
    <row r="178" spans="1:9" x14ac:dyDescent="0.3">
      <c r="A178" s="1" t="s">
        <v>181</v>
      </c>
      <c r="B178" s="1" t="s">
        <v>137</v>
      </c>
      <c r="C178" s="1" t="s">
        <v>166</v>
      </c>
      <c r="D178" s="1" t="s">
        <v>125</v>
      </c>
      <c r="E178" s="1" t="s">
        <v>32</v>
      </c>
      <c r="F178" s="1" t="s">
        <v>174</v>
      </c>
      <c r="G178" s="1" t="s">
        <v>115</v>
      </c>
      <c r="H178" s="1" t="s">
        <v>25</v>
      </c>
      <c r="I178" s="1"/>
    </row>
    <row r="179" spans="1:9" x14ac:dyDescent="0.3">
      <c r="A179" s="1" t="s">
        <v>274</v>
      </c>
      <c r="B179" s="1" t="s">
        <v>140</v>
      </c>
      <c r="C179" s="1" t="s">
        <v>293</v>
      </c>
      <c r="D179" s="1" t="s">
        <v>125</v>
      </c>
      <c r="E179" s="1" t="s">
        <v>29</v>
      </c>
      <c r="F179" s="1" t="s">
        <v>171</v>
      </c>
      <c r="G179" s="1" t="s">
        <v>116</v>
      </c>
      <c r="H179" s="1" t="s">
        <v>25</v>
      </c>
      <c r="I179" s="1"/>
    </row>
    <row r="180" spans="1:9" x14ac:dyDescent="0.3">
      <c r="A180" s="1" t="s">
        <v>182</v>
      </c>
      <c r="B180" s="1" t="s">
        <v>146</v>
      </c>
      <c r="C180" s="1" t="s">
        <v>212</v>
      </c>
      <c r="D180" s="1" t="s">
        <v>294</v>
      </c>
      <c r="E180" s="1" t="s">
        <v>32</v>
      </c>
      <c r="F180" s="1" t="s">
        <v>110</v>
      </c>
      <c r="G180" s="1" t="s">
        <v>174</v>
      </c>
      <c r="H180" s="1" t="s">
        <v>25</v>
      </c>
      <c r="I180" s="1"/>
    </row>
    <row r="181" spans="1:9" x14ac:dyDescent="0.3">
      <c r="A181" s="1" t="s">
        <v>295</v>
      </c>
      <c r="B181" s="1" t="s">
        <v>146</v>
      </c>
      <c r="C181" s="1" t="s">
        <v>127</v>
      </c>
      <c r="D181" s="1" t="s">
        <v>67</v>
      </c>
      <c r="E181" s="1" t="s">
        <v>22</v>
      </c>
      <c r="F181" s="1" t="s">
        <v>80</v>
      </c>
      <c r="G181" s="1" t="s">
        <v>63</v>
      </c>
      <c r="H181" s="1" t="s">
        <v>25</v>
      </c>
      <c r="I181" s="1"/>
    </row>
    <row r="182" spans="1:9" x14ac:dyDescent="0.3">
      <c r="A182" s="1" t="s">
        <v>296</v>
      </c>
      <c r="B182" s="1" t="s">
        <v>146</v>
      </c>
      <c r="C182" s="1" t="s">
        <v>248</v>
      </c>
      <c r="D182" s="1" t="s">
        <v>51</v>
      </c>
      <c r="E182" s="1" t="s">
        <v>34</v>
      </c>
      <c r="F182" s="1" t="s">
        <v>57</v>
      </c>
      <c r="G182" s="1" t="s">
        <v>58</v>
      </c>
      <c r="H182" s="1" t="s">
        <v>25</v>
      </c>
      <c r="I182" s="1"/>
    </row>
    <row r="183" spans="1:9" x14ac:dyDescent="0.3">
      <c r="A183" s="1" t="s">
        <v>201</v>
      </c>
      <c r="B183" s="1" t="s">
        <v>146</v>
      </c>
      <c r="C183" s="1" t="s">
        <v>248</v>
      </c>
      <c r="D183" s="1" t="s">
        <v>51</v>
      </c>
      <c r="E183" s="1" t="s">
        <v>37</v>
      </c>
      <c r="F183" s="1" t="s">
        <v>99</v>
      </c>
      <c r="G183" s="1" t="s">
        <v>99</v>
      </c>
      <c r="H183" s="1" t="s">
        <v>25</v>
      </c>
      <c r="I183" s="1"/>
    </row>
    <row r="184" spans="1:9" x14ac:dyDescent="0.3">
      <c r="A184" s="1" t="s">
        <v>297</v>
      </c>
      <c r="B184" s="1" t="s">
        <v>143</v>
      </c>
      <c r="C184" s="1" t="s">
        <v>127</v>
      </c>
      <c r="D184" s="1" t="s">
        <v>128</v>
      </c>
      <c r="E184" s="1" t="s">
        <v>26</v>
      </c>
      <c r="F184" s="1" t="s">
        <v>71</v>
      </c>
      <c r="G184" s="1" t="s">
        <v>88</v>
      </c>
      <c r="H184" s="1" t="s">
        <v>25</v>
      </c>
      <c r="I184" s="1"/>
    </row>
    <row r="185" spans="1:9" x14ac:dyDescent="0.3">
      <c r="A185" s="1" t="s">
        <v>298</v>
      </c>
      <c r="B185" s="1" t="s">
        <v>143</v>
      </c>
      <c r="C185" s="1" t="s">
        <v>248</v>
      </c>
      <c r="D185" s="1" t="s">
        <v>141</v>
      </c>
      <c r="E185" s="1" t="s">
        <v>18</v>
      </c>
      <c r="F185" s="1" t="s">
        <v>103</v>
      </c>
      <c r="G185" s="1" t="s">
        <v>95</v>
      </c>
      <c r="H185" s="1" t="s">
        <v>25</v>
      </c>
      <c r="I185" s="1"/>
    </row>
    <row r="186" spans="1:9" x14ac:dyDescent="0.3">
      <c r="A186" s="1" t="s">
        <v>299</v>
      </c>
      <c r="B186" s="1" t="s">
        <v>300</v>
      </c>
      <c r="C186" s="1" t="s">
        <v>127</v>
      </c>
      <c r="D186" s="1" t="s">
        <v>125</v>
      </c>
      <c r="E186" s="1" t="s">
        <v>37</v>
      </c>
      <c r="F186" s="1" t="s">
        <v>93</v>
      </c>
      <c r="G186" s="1" t="s">
        <v>93</v>
      </c>
      <c r="H186" s="1" t="s">
        <v>25</v>
      </c>
      <c r="I186" s="1"/>
    </row>
    <row r="187" spans="1:9" x14ac:dyDescent="0.3">
      <c r="A187" s="1" t="s">
        <v>224</v>
      </c>
      <c r="B187" s="1" t="s">
        <v>301</v>
      </c>
      <c r="C187" s="1" t="s">
        <v>124</v>
      </c>
      <c r="D187" s="1" t="s">
        <v>141</v>
      </c>
      <c r="E187" s="1" t="s">
        <v>18</v>
      </c>
      <c r="F187" s="1" t="s">
        <v>53</v>
      </c>
      <c r="G187" s="1" t="s">
        <v>92</v>
      </c>
      <c r="H187" s="1" t="s">
        <v>25</v>
      </c>
      <c r="I187" s="1"/>
    </row>
    <row r="188" spans="1:9" x14ac:dyDescent="0.3">
      <c r="A188" s="1" t="s">
        <v>275</v>
      </c>
      <c r="B188" s="1" t="s">
        <v>300</v>
      </c>
      <c r="C188" s="1" t="s">
        <v>124</v>
      </c>
      <c r="D188" s="1" t="s">
        <v>302</v>
      </c>
      <c r="E188" s="1" t="s">
        <v>37</v>
      </c>
      <c r="F188" s="1" t="s">
        <v>52</v>
      </c>
      <c r="G188" s="1" t="s">
        <v>52</v>
      </c>
      <c r="H188" s="1" t="s">
        <v>25</v>
      </c>
      <c r="I188" s="1"/>
    </row>
    <row r="189" spans="1:9" x14ac:dyDescent="0.3">
      <c r="A189" s="1" t="s">
        <v>303</v>
      </c>
      <c r="B189" s="1" t="s">
        <v>300</v>
      </c>
      <c r="C189" s="1" t="s">
        <v>121</v>
      </c>
      <c r="D189" s="1" t="s">
        <v>302</v>
      </c>
      <c r="E189" s="1" t="s">
        <v>37</v>
      </c>
      <c r="F189" s="1" t="s">
        <v>49</v>
      </c>
      <c r="G189" s="1" t="s">
        <v>49</v>
      </c>
      <c r="H189" s="1" t="s">
        <v>25</v>
      </c>
      <c r="I189" s="1"/>
    </row>
    <row r="190" spans="1:9" x14ac:dyDescent="0.3">
      <c r="A190" s="1" t="s">
        <v>304</v>
      </c>
      <c r="B190" s="1" t="s">
        <v>301</v>
      </c>
      <c r="C190" s="1" t="s">
        <v>121</v>
      </c>
      <c r="D190" s="1" t="s">
        <v>138</v>
      </c>
      <c r="E190" s="1" t="s">
        <v>37</v>
      </c>
      <c r="F190" s="1" t="s">
        <v>34</v>
      </c>
      <c r="G190" s="1" t="s">
        <v>34</v>
      </c>
      <c r="H190" s="1" t="s">
        <v>25</v>
      </c>
      <c r="I190" s="1"/>
    </row>
    <row r="191" spans="1:9" x14ac:dyDescent="0.3">
      <c r="A191" s="1" t="s">
        <v>225</v>
      </c>
      <c r="B191" s="1" t="s">
        <v>305</v>
      </c>
      <c r="C191" s="1" t="s">
        <v>306</v>
      </c>
      <c r="D191" s="1" t="s">
        <v>94</v>
      </c>
      <c r="E191" s="1" t="s">
        <v>37</v>
      </c>
      <c r="F191" s="1" t="s">
        <v>18</v>
      </c>
      <c r="G191" s="1" t="s">
        <v>18</v>
      </c>
      <c r="H191" s="1" t="s">
        <v>25</v>
      </c>
      <c r="I191" s="1"/>
    </row>
    <row r="192" spans="1:9" x14ac:dyDescent="0.3">
      <c r="A192" s="1" t="s">
        <v>307</v>
      </c>
      <c r="B192" s="1" t="s">
        <v>305</v>
      </c>
      <c r="C192" s="1" t="s">
        <v>306</v>
      </c>
      <c r="D192" s="1" t="s">
        <v>94</v>
      </c>
      <c r="E192" s="1" t="s">
        <v>37</v>
      </c>
      <c r="F192" s="1" t="s">
        <v>18</v>
      </c>
      <c r="G192" s="1" t="s">
        <v>18</v>
      </c>
      <c r="H192" s="1" t="s">
        <v>25</v>
      </c>
      <c r="I192" s="1"/>
    </row>
    <row r="193" spans="1:9" x14ac:dyDescent="0.3">
      <c r="A193" s="1" t="s">
        <v>209</v>
      </c>
      <c r="B193" s="1" t="s">
        <v>305</v>
      </c>
      <c r="C193" s="1" t="s">
        <v>195</v>
      </c>
      <c r="D193" s="1" t="s">
        <v>56</v>
      </c>
      <c r="E193" s="1" t="s">
        <v>37</v>
      </c>
      <c r="F193" s="1" t="s">
        <v>18</v>
      </c>
      <c r="G193" s="1" t="s">
        <v>18</v>
      </c>
      <c r="H193" s="1" t="s">
        <v>25</v>
      </c>
      <c r="I193" s="1"/>
    </row>
    <row r="194" spans="1:9" x14ac:dyDescent="0.3">
      <c r="A194" s="1" t="s">
        <v>308</v>
      </c>
      <c r="B194" s="1" t="s">
        <v>305</v>
      </c>
      <c r="C194" s="1" t="s">
        <v>306</v>
      </c>
      <c r="D194" s="1" t="s">
        <v>94</v>
      </c>
      <c r="E194" s="1" t="s">
        <v>18</v>
      </c>
      <c r="F194" s="1" t="s">
        <v>32</v>
      </c>
      <c r="G194" s="1" t="s">
        <v>38</v>
      </c>
      <c r="H194" s="1" t="s">
        <v>25</v>
      </c>
      <c r="I194" s="1"/>
    </row>
    <row r="195" spans="1:9" x14ac:dyDescent="0.3">
      <c r="A195" s="1" t="s">
        <v>309</v>
      </c>
      <c r="B195" s="1" t="s">
        <v>305</v>
      </c>
      <c r="C195" s="1" t="s">
        <v>195</v>
      </c>
      <c r="D195" s="1" t="s">
        <v>56</v>
      </c>
      <c r="E195" s="1" t="s">
        <v>37</v>
      </c>
      <c r="F195" s="1" t="s">
        <v>36</v>
      </c>
      <c r="G195" s="1" t="s">
        <v>36</v>
      </c>
      <c r="H195" s="1" t="s">
        <v>25</v>
      </c>
      <c r="I195" s="1"/>
    </row>
    <row r="196" spans="1:9" x14ac:dyDescent="0.3">
      <c r="A196" s="1" t="s">
        <v>210</v>
      </c>
      <c r="B196" s="1" t="s">
        <v>301</v>
      </c>
      <c r="C196" s="1" t="s">
        <v>121</v>
      </c>
      <c r="D196" s="1" t="s">
        <v>310</v>
      </c>
      <c r="E196" s="1" t="s">
        <v>37</v>
      </c>
      <c r="F196" s="1" t="s">
        <v>84</v>
      </c>
      <c r="G196" s="1" t="s">
        <v>84</v>
      </c>
      <c r="H196" s="1" t="s">
        <v>25</v>
      </c>
      <c r="I196" s="1"/>
    </row>
    <row r="197" spans="1:9" x14ac:dyDescent="0.3">
      <c r="A197" s="1" t="s">
        <v>311</v>
      </c>
      <c r="B197" s="1" t="s">
        <v>143</v>
      </c>
      <c r="C197" s="1" t="s">
        <v>149</v>
      </c>
      <c r="D197" s="1" t="s">
        <v>141</v>
      </c>
      <c r="E197" s="1" t="s">
        <v>37</v>
      </c>
      <c r="F197" s="1" t="s">
        <v>136</v>
      </c>
      <c r="G197" s="1" t="s">
        <v>136</v>
      </c>
      <c r="H197" s="1" t="s">
        <v>25</v>
      </c>
      <c r="I197" s="1"/>
    </row>
    <row r="198" spans="1:9" x14ac:dyDescent="0.3">
      <c r="A198" s="1" t="s">
        <v>312</v>
      </c>
      <c r="B198" s="1" t="s">
        <v>146</v>
      </c>
      <c r="C198" s="1" t="s">
        <v>154</v>
      </c>
      <c r="D198" s="1" t="s">
        <v>310</v>
      </c>
      <c r="E198" s="1" t="s">
        <v>26</v>
      </c>
      <c r="F198" s="1" t="s">
        <v>68</v>
      </c>
      <c r="G198" s="1" t="s">
        <v>136</v>
      </c>
      <c r="H198" s="1" t="s">
        <v>25</v>
      </c>
      <c r="I198" s="1"/>
    </row>
    <row r="199" spans="1:9" x14ac:dyDescent="0.3">
      <c r="A199" s="1" t="s">
        <v>313</v>
      </c>
      <c r="B199" s="1" t="s">
        <v>140</v>
      </c>
      <c r="C199" s="1" t="s">
        <v>212</v>
      </c>
      <c r="D199" s="1" t="s">
        <v>125</v>
      </c>
      <c r="E199" s="1" t="s">
        <v>34</v>
      </c>
      <c r="F199" s="1" t="s">
        <v>186</v>
      </c>
      <c r="G199" s="1" t="s">
        <v>192</v>
      </c>
      <c r="H199" s="1" t="s">
        <v>25</v>
      </c>
      <c r="I199" s="1"/>
    </row>
    <row r="200" spans="1:9" x14ac:dyDescent="0.3">
      <c r="A200" s="1" t="s">
        <v>314</v>
      </c>
      <c r="B200" s="1" t="s">
        <v>137</v>
      </c>
      <c r="C200" s="1" t="s">
        <v>315</v>
      </c>
      <c r="D200" s="1" t="s">
        <v>125</v>
      </c>
      <c r="E200" s="1" t="s">
        <v>38</v>
      </c>
      <c r="F200" s="1" t="s">
        <v>174</v>
      </c>
      <c r="G200" s="1" t="s">
        <v>111</v>
      </c>
      <c r="H200" s="1" t="s">
        <v>25</v>
      </c>
      <c r="I200" s="1"/>
    </row>
    <row r="201" spans="1:9" x14ac:dyDescent="0.3">
      <c r="A201" s="1" t="s">
        <v>316</v>
      </c>
      <c r="B201" s="1" t="s">
        <v>153</v>
      </c>
      <c r="C201" s="1" t="s">
        <v>166</v>
      </c>
      <c r="D201" s="1" t="s">
        <v>302</v>
      </c>
      <c r="E201" s="1" t="s">
        <v>29</v>
      </c>
      <c r="F201" s="1" t="s">
        <v>110</v>
      </c>
      <c r="G201" s="1" t="s">
        <v>162</v>
      </c>
      <c r="H201" s="1" t="s">
        <v>25</v>
      </c>
      <c r="I201" s="1"/>
    </row>
    <row r="202" spans="1:9" x14ac:dyDescent="0.3">
      <c r="A202" s="1" t="s">
        <v>317</v>
      </c>
      <c r="B202" s="1" t="s">
        <v>135</v>
      </c>
      <c r="C202" s="1" t="s">
        <v>155</v>
      </c>
      <c r="D202" s="1" t="s">
        <v>128</v>
      </c>
      <c r="E202" s="1" t="s">
        <v>32</v>
      </c>
      <c r="F202" s="1" t="s">
        <v>161</v>
      </c>
      <c r="G202" s="1" t="s">
        <v>189</v>
      </c>
      <c r="H202" s="1" t="s">
        <v>25</v>
      </c>
      <c r="I202" s="1"/>
    </row>
    <row r="203" spans="1:9" x14ac:dyDescent="0.3">
      <c r="A203" s="1" t="s">
        <v>198</v>
      </c>
      <c r="B203" s="1" t="s">
        <v>137</v>
      </c>
      <c r="C203" s="1" t="s">
        <v>315</v>
      </c>
      <c r="D203" s="1" t="s">
        <v>125</v>
      </c>
      <c r="E203" s="1" t="s">
        <v>23</v>
      </c>
      <c r="F203" s="1" t="s">
        <v>186</v>
      </c>
      <c r="G203" s="1" t="s">
        <v>180</v>
      </c>
      <c r="H203" s="1" t="s">
        <v>25</v>
      </c>
      <c r="I203" s="1"/>
    </row>
    <row r="204" spans="1:9" x14ac:dyDescent="0.3">
      <c r="A204" s="1" t="s">
        <v>318</v>
      </c>
      <c r="B204" s="1" t="s">
        <v>172</v>
      </c>
      <c r="C204" s="1" t="s">
        <v>212</v>
      </c>
      <c r="D204" s="1" t="s">
        <v>141</v>
      </c>
      <c r="E204" s="1" t="s">
        <v>22</v>
      </c>
      <c r="F204" s="1" t="s">
        <v>113</v>
      </c>
      <c r="G204" s="1" t="s">
        <v>163</v>
      </c>
      <c r="H204" s="1" t="s">
        <v>25</v>
      </c>
      <c r="I204" s="1"/>
    </row>
    <row r="205" spans="1:9" x14ac:dyDescent="0.3">
      <c r="A205" s="1" t="s">
        <v>319</v>
      </c>
      <c r="B205" s="1" t="s">
        <v>140</v>
      </c>
      <c r="C205" s="1" t="s">
        <v>154</v>
      </c>
      <c r="D205" s="1" t="s">
        <v>122</v>
      </c>
      <c r="E205" s="1" t="s">
        <v>34</v>
      </c>
      <c r="F205" s="1" t="s">
        <v>126</v>
      </c>
      <c r="G205" s="1" t="s">
        <v>134</v>
      </c>
      <c r="H205" s="1" t="s">
        <v>25</v>
      </c>
      <c r="I205" s="1"/>
    </row>
    <row r="206" spans="1:9" x14ac:dyDescent="0.3">
      <c r="A206" s="1" t="s">
        <v>320</v>
      </c>
      <c r="B206" s="1" t="s">
        <v>140</v>
      </c>
      <c r="C206" s="1" t="s">
        <v>149</v>
      </c>
      <c r="D206" s="1" t="s">
        <v>122</v>
      </c>
      <c r="E206" s="1" t="s">
        <v>18</v>
      </c>
      <c r="F206" s="1" t="s">
        <v>31</v>
      </c>
      <c r="G206" s="1" t="s">
        <v>79</v>
      </c>
      <c r="H206" s="1" t="s">
        <v>25</v>
      </c>
      <c r="I206" s="1"/>
    </row>
    <row r="207" spans="1:9" x14ac:dyDescent="0.3">
      <c r="A207" s="1" t="s">
        <v>321</v>
      </c>
      <c r="B207" s="1" t="s">
        <v>146</v>
      </c>
      <c r="C207" s="1" t="s">
        <v>121</v>
      </c>
      <c r="D207" s="1" t="s">
        <v>51</v>
      </c>
      <c r="E207" s="1" t="s">
        <v>37</v>
      </c>
      <c r="F207" s="1" t="s">
        <v>112</v>
      </c>
      <c r="G207" s="1" t="s">
        <v>112</v>
      </c>
      <c r="H207" s="1" t="s">
        <v>25</v>
      </c>
      <c r="I207" s="1"/>
    </row>
    <row r="208" spans="1:9" x14ac:dyDescent="0.3">
      <c r="A208" s="1" t="s">
        <v>322</v>
      </c>
      <c r="B208" s="1" t="s">
        <v>143</v>
      </c>
      <c r="C208" s="1" t="s">
        <v>121</v>
      </c>
      <c r="D208" s="1" t="s">
        <v>138</v>
      </c>
      <c r="E208" s="1" t="s">
        <v>18</v>
      </c>
      <c r="F208" s="1" t="s">
        <v>84</v>
      </c>
      <c r="G208" s="1" t="s">
        <v>86</v>
      </c>
      <c r="H208" s="1" t="s">
        <v>25</v>
      </c>
      <c r="I208" s="1"/>
    </row>
    <row r="209" spans="1:9" x14ac:dyDescent="0.3">
      <c r="A209" s="1" t="s">
        <v>323</v>
      </c>
      <c r="B209" s="1" t="s">
        <v>146</v>
      </c>
      <c r="C209" s="1" t="s">
        <v>121</v>
      </c>
      <c r="D209" s="1" t="s">
        <v>67</v>
      </c>
      <c r="E209" s="1" t="s">
        <v>32</v>
      </c>
      <c r="F209" s="1" t="s">
        <v>36</v>
      </c>
      <c r="G209" s="1" t="s">
        <v>70</v>
      </c>
      <c r="H209" s="1" t="s">
        <v>25</v>
      </c>
      <c r="I209" s="1"/>
    </row>
    <row r="210" spans="1:9" x14ac:dyDescent="0.3">
      <c r="A210" s="1" t="s">
        <v>324</v>
      </c>
      <c r="B210" s="1" t="s">
        <v>140</v>
      </c>
      <c r="C210" s="1" t="s">
        <v>144</v>
      </c>
      <c r="D210" s="1" t="s">
        <v>94</v>
      </c>
      <c r="E210" s="1" t="s">
        <v>37</v>
      </c>
      <c r="F210" s="1" t="s">
        <v>38</v>
      </c>
      <c r="G210" s="1" t="s">
        <v>38</v>
      </c>
      <c r="H210" s="1" t="s">
        <v>25</v>
      </c>
      <c r="I210" s="1"/>
    </row>
    <row r="211" spans="1:9" x14ac:dyDescent="0.3">
      <c r="A211" s="1" t="s">
        <v>267</v>
      </c>
      <c r="B211" s="1" t="s">
        <v>146</v>
      </c>
      <c r="C211" s="1" t="s">
        <v>144</v>
      </c>
      <c r="D211" s="1" t="s">
        <v>56</v>
      </c>
      <c r="E211" s="1" t="s">
        <v>26</v>
      </c>
      <c r="F211" s="1" t="s">
        <v>22</v>
      </c>
      <c r="G211" s="1" t="s">
        <v>32</v>
      </c>
      <c r="H211" s="1" t="s">
        <v>25</v>
      </c>
      <c r="I211" s="1"/>
    </row>
    <row r="212" spans="1:9" x14ac:dyDescent="0.3">
      <c r="A212" s="1" t="s">
        <v>325</v>
      </c>
      <c r="B212" s="1" t="s">
        <v>146</v>
      </c>
      <c r="C212" s="1" t="s">
        <v>144</v>
      </c>
      <c r="D212" s="1" t="s">
        <v>56</v>
      </c>
      <c r="E212" s="1" t="s">
        <v>18</v>
      </c>
      <c r="F212" s="1" t="s">
        <v>37</v>
      </c>
      <c r="G212" s="1" t="s">
        <v>18</v>
      </c>
      <c r="H212" s="1" t="s">
        <v>25</v>
      </c>
      <c r="I212" s="1"/>
    </row>
    <row r="213" spans="1:9" x14ac:dyDescent="0.3">
      <c r="A213" s="1" t="s">
        <v>199</v>
      </c>
      <c r="B213" s="1" t="s">
        <v>146</v>
      </c>
      <c r="C213" s="1" t="s">
        <v>144</v>
      </c>
      <c r="D213" s="1" t="s">
        <v>98</v>
      </c>
      <c r="E213" s="1" t="s">
        <v>37</v>
      </c>
      <c r="F213" s="1" t="s">
        <v>22</v>
      </c>
      <c r="G213" s="1" t="s">
        <v>22</v>
      </c>
      <c r="H213" s="1" t="s">
        <v>25</v>
      </c>
      <c r="I213" s="1"/>
    </row>
    <row r="214" spans="1:9" x14ac:dyDescent="0.3">
      <c r="A214" s="1" t="s">
        <v>326</v>
      </c>
      <c r="B214" s="1" t="s">
        <v>146</v>
      </c>
      <c r="C214" s="1" t="s">
        <v>144</v>
      </c>
      <c r="D214" s="1" t="s">
        <v>98</v>
      </c>
      <c r="E214" s="1" t="s">
        <v>37</v>
      </c>
      <c r="F214" s="1" t="s">
        <v>18</v>
      </c>
      <c r="G214" s="1" t="s">
        <v>18</v>
      </c>
      <c r="H214" s="1" t="s">
        <v>25</v>
      </c>
      <c r="I214" s="1"/>
    </row>
    <row r="215" spans="1:9" x14ac:dyDescent="0.3">
      <c r="A215" s="1" t="s">
        <v>327</v>
      </c>
      <c r="B215" s="1" t="s">
        <v>146</v>
      </c>
      <c r="C215" s="1" t="s">
        <v>328</v>
      </c>
      <c r="D215" s="1" t="s">
        <v>109</v>
      </c>
      <c r="E215" s="1" t="s">
        <v>18</v>
      </c>
      <c r="F215" s="1" t="s">
        <v>26</v>
      </c>
      <c r="G215" s="1" t="s">
        <v>22</v>
      </c>
      <c r="H215" s="1" t="s">
        <v>25</v>
      </c>
      <c r="I215" s="1"/>
    </row>
    <row r="216" spans="1:9" x14ac:dyDescent="0.3">
      <c r="A216" s="1" t="s">
        <v>329</v>
      </c>
      <c r="B216" s="1" t="s">
        <v>143</v>
      </c>
      <c r="C216" s="1" t="s">
        <v>328</v>
      </c>
      <c r="D216" s="1" t="s">
        <v>51</v>
      </c>
      <c r="E216" s="1" t="s">
        <v>37</v>
      </c>
      <c r="F216" s="1" t="s">
        <v>22</v>
      </c>
      <c r="G216" s="1" t="s">
        <v>22</v>
      </c>
      <c r="H216" s="1" t="s">
        <v>25</v>
      </c>
      <c r="I216" s="1"/>
    </row>
    <row r="217" spans="1:9" x14ac:dyDescent="0.3">
      <c r="A217" s="1" t="s">
        <v>241</v>
      </c>
      <c r="B217" s="1" t="s">
        <v>146</v>
      </c>
      <c r="C217" s="1" t="s">
        <v>144</v>
      </c>
      <c r="D217" s="1" t="s">
        <v>56</v>
      </c>
      <c r="E217" s="1" t="s">
        <v>37</v>
      </c>
      <c r="F217" s="1" t="s">
        <v>87</v>
      </c>
      <c r="G217" s="1" t="s">
        <v>87</v>
      </c>
      <c r="H217" s="1" t="s">
        <v>25</v>
      </c>
      <c r="I217" s="1"/>
    </row>
    <row r="218" spans="1:9" x14ac:dyDescent="0.3">
      <c r="A218" s="1" t="s">
        <v>330</v>
      </c>
      <c r="B218" s="1" t="s">
        <v>146</v>
      </c>
      <c r="C218" s="1" t="s">
        <v>144</v>
      </c>
      <c r="D218" s="1" t="s">
        <v>98</v>
      </c>
      <c r="E218" s="1" t="s">
        <v>26</v>
      </c>
      <c r="F218" s="1" t="s">
        <v>111</v>
      </c>
      <c r="G218" s="1" t="s">
        <v>161</v>
      </c>
      <c r="H218" s="1" t="s">
        <v>25</v>
      </c>
      <c r="I218" s="1"/>
    </row>
    <row r="219" spans="1:9" x14ac:dyDescent="0.3">
      <c r="A219" s="1" t="s">
        <v>331</v>
      </c>
      <c r="B219" s="1" t="s">
        <v>146</v>
      </c>
      <c r="C219" s="1" t="s">
        <v>144</v>
      </c>
      <c r="D219" s="1" t="s">
        <v>56</v>
      </c>
      <c r="E219" s="1" t="s">
        <v>34</v>
      </c>
      <c r="F219" s="1" t="s">
        <v>298</v>
      </c>
      <c r="G219" s="1" t="s">
        <v>303</v>
      </c>
      <c r="H219" s="1" t="s">
        <v>25</v>
      </c>
      <c r="I219" s="1"/>
    </row>
    <row r="220" spans="1:9" x14ac:dyDescent="0.3">
      <c r="A220" s="1" t="s">
        <v>242</v>
      </c>
      <c r="B220" s="1" t="s">
        <v>146</v>
      </c>
      <c r="C220" s="1" t="s">
        <v>144</v>
      </c>
      <c r="D220" s="1" t="s">
        <v>51</v>
      </c>
      <c r="E220" s="1" t="s">
        <v>26</v>
      </c>
      <c r="F220" s="1" t="s">
        <v>180</v>
      </c>
      <c r="G220" s="1" t="s">
        <v>69</v>
      </c>
      <c r="H220" s="1" t="s">
        <v>25</v>
      </c>
      <c r="I220" s="1"/>
    </row>
    <row r="221" spans="1:9" x14ac:dyDescent="0.3">
      <c r="A221" s="1" t="s">
        <v>332</v>
      </c>
      <c r="B221" s="1" t="s">
        <v>146</v>
      </c>
      <c r="C221" s="1" t="s">
        <v>144</v>
      </c>
      <c r="D221" s="1" t="s">
        <v>67</v>
      </c>
      <c r="E221" s="1" t="s">
        <v>37</v>
      </c>
      <c r="F221" s="1" t="s">
        <v>87</v>
      </c>
      <c r="G221" s="1" t="s">
        <v>87</v>
      </c>
      <c r="H221" s="1" t="s">
        <v>25</v>
      </c>
      <c r="I221" s="1"/>
    </row>
    <row r="222" spans="1:9" x14ac:dyDescent="0.3">
      <c r="A222" s="1" t="s">
        <v>333</v>
      </c>
      <c r="B222" s="1" t="s">
        <v>140</v>
      </c>
      <c r="C222" s="1" t="s">
        <v>133</v>
      </c>
      <c r="D222" s="1" t="s">
        <v>56</v>
      </c>
      <c r="E222" s="1" t="s">
        <v>26</v>
      </c>
      <c r="F222" s="1" t="s">
        <v>99</v>
      </c>
      <c r="G222" s="1" t="s">
        <v>58</v>
      </c>
      <c r="H222" s="1" t="s">
        <v>25</v>
      </c>
      <c r="I222" s="1"/>
    </row>
    <row r="223" spans="1:9" x14ac:dyDescent="0.3">
      <c r="A223" s="1" t="s">
        <v>334</v>
      </c>
      <c r="B223" s="1" t="s">
        <v>153</v>
      </c>
      <c r="C223" s="1" t="s">
        <v>154</v>
      </c>
      <c r="D223" s="1" t="s">
        <v>56</v>
      </c>
      <c r="E223" s="1" t="s">
        <v>32</v>
      </c>
      <c r="F223" s="1" t="s">
        <v>68</v>
      </c>
      <c r="G223" s="1" t="s">
        <v>80</v>
      </c>
      <c r="H223" s="1" t="s">
        <v>25</v>
      </c>
      <c r="I223" s="1"/>
    </row>
    <row r="224" spans="1:9" x14ac:dyDescent="0.3">
      <c r="A224" s="1" t="s">
        <v>335</v>
      </c>
      <c r="B224" s="1" t="s">
        <v>153</v>
      </c>
      <c r="C224" s="1" t="s">
        <v>154</v>
      </c>
      <c r="D224" s="1" t="s">
        <v>56</v>
      </c>
      <c r="E224" s="1" t="s">
        <v>34</v>
      </c>
      <c r="F224" s="1" t="s">
        <v>139</v>
      </c>
      <c r="G224" s="1" t="s">
        <v>106</v>
      </c>
      <c r="H224" s="1" t="s">
        <v>25</v>
      </c>
      <c r="I224" s="1"/>
    </row>
    <row r="225" spans="1:9" x14ac:dyDescent="0.3">
      <c r="A225" s="1" t="s">
        <v>336</v>
      </c>
      <c r="B225" s="1" t="s">
        <v>135</v>
      </c>
      <c r="C225" s="1" t="s">
        <v>154</v>
      </c>
      <c r="D225" s="1" t="s">
        <v>98</v>
      </c>
      <c r="E225" s="1" t="s">
        <v>37</v>
      </c>
      <c r="F225" s="1" t="s">
        <v>68</v>
      </c>
      <c r="G225" s="1" t="s">
        <v>68</v>
      </c>
      <c r="H225" s="1" t="s">
        <v>25</v>
      </c>
      <c r="I225" s="1"/>
    </row>
    <row r="226" spans="1:9" x14ac:dyDescent="0.3">
      <c r="A226" s="1" t="s">
        <v>337</v>
      </c>
      <c r="B226" s="1" t="s">
        <v>135</v>
      </c>
      <c r="C226" s="1" t="s">
        <v>154</v>
      </c>
      <c r="D226" s="1" t="s">
        <v>98</v>
      </c>
      <c r="E226" s="1" t="s">
        <v>26</v>
      </c>
      <c r="F226" s="1" t="s">
        <v>123</v>
      </c>
      <c r="G226" s="1" t="s">
        <v>129</v>
      </c>
      <c r="H226" s="1" t="s">
        <v>25</v>
      </c>
      <c r="I226" s="1"/>
    </row>
    <row r="227" spans="1:9" x14ac:dyDescent="0.3">
      <c r="A227" s="1" t="s">
        <v>338</v>
      </c>
      <c r="B227" s="1" t="s">
        <v>132</v>
      </c>
      <c r="C227" s="1" t="s">
        <v>154</v>
      </c>
      <c r="D227" s="1" t="s">
        <v>109</v>
      </c>
      <c r="E227" s="1" t="s">
        <v>34</v>
      </c>
      <c r="F227" s="1" t="s">
        <v>75</v>
      </c>
      <c r="G227" s="1" t="s">
        <v>115</v>
      </c>
      <c r="H227" s="1" t="s">
        <v>25</v>
      </c>
      <c r="I227" s="1"/>
    </row>
    <row r="228" spans="1:9" x14ac:dyDescent="0.3">
      <c r="A228" s="1" t="s">
        <v>339</v>
      </c>
      <c r="B228" s="1" t="s">
        <v>130</v>
      </c>
      <c r="C228" s="1" t="s">
        <v>154</v>
      </c>
      <c r="D228" s="1" t="s">
        <v>167</v>
      </c>
      <c r="E228" s="1" t="s">
        <v>34</v>
      </c>
      <c r="F228" s="1" t="s">
        <v>289</v>
      </c>
      <c r="G228" s="1" t="s">
        <v>274</v>
      </c>
      <c r="H228" s="1" t="s">
        <v>25</v>
      </c>
      <c r="I228" s="1"/>
    </row>
    <row r="229" spans="1:9" x14ac:dyDescent="0.3">
      <c r="A229" s="1" t="s">
        <v>340</v>
      </c>
      <c r="B229" s="1" t="s">
        <v>135</v>
      </c>
      <c r="C229" s="1" t="s">
        <v>154</v>
      </c>
      <c r="D229" s="1" t="s">
        <v>98</v>
      </c>
      <c r="E229" s="1" t="s">
        <v>18</v>
      </c>
      <c r="F229" s="1" t="s">
        <v>148</v>
      </c>
      <c r="G229" s="1" t="s">
        <v>273</v>
      </c>
      <c r="H229" s="1" t="s">
        <v>25</v>
      </c>
      <c r="I229" s="1"/>
    </row>
    <row r="230" spans="1:9" x14ac:dyDescent="0.3">
      <c r="A230" s="1" t="s">
        <v>341</v>
      </c>
      <c r="B230" s="1" t="s">
        <v>137</v>
      </c>
      <c r="C230" s="1" t="s">
        <v>133</v>
      </c>
      <c r="D230" s="1" t="s">
        <v>114</v>
      </c>
      <c r="E230" s="1" t="s">
        <v>22</v>
      </c>
      <c r="F230" s="1" t="s">
        <v>180</v>
      </c>
      <c r="G230" s="1" t="s">
        <v>206</v>
      </c>
      <c r="H230" s="1" t="s">
        <v>25</v>
      </c>
      <c r="I230" s="1"/>
    </row>
    <row r="231" spans="1:9" x14ac:dyDescent="0.3">
      <c r="A231" s="1" t="s">
        <v>342</v>
      </c>
      <c r="B231" s="1" t="s">
        <v>137</v>
      </c>
      <c r="C231" s="1" t="s">
        <v>144</v>
      </c>
      <c r="D231" s="1" t="s">
        <v>114</v>
      </c>
      <c r="E231" s="1" t="s">
        <v>18</v>
      </c>
      <c r="F231" s="1" t="s">
        <v>108</v>
      </c>
      <c r="G231" s="1" t="s">
        <v>115</v>
      </c>
      <c r="H231" s="1" t="s">
        <v>25</v>
      </c>
      <c r="I231" s="1"/>
    </row>
    <row r="232" spans="1:9" x14ac:dyDescent="0.3">
      <c r="A232" s="1" t="s">
        <v>343</v>
      </c>
      <c r="B232" s="1" t="s">
        <v>140</v>
      </c>
      <c r="C232" s="1" t="s">
        <v>176</v>
      </c>
      <c r="D232" s="1" t="s">
        <v>94</v>
      </c>
      <c r="E232" s="1" t="s">
        <v>18</v>
      </c>
      <c r="F232" s="1" t="s">
        <v>88</v>
      </c>
      <c r="G232" s="1" t="s">
        <v>112</v>
      </c>
      <c r="H232" s="1" t="s">
        <v>25</v>
      </c>
      <c r="I232" s="1"/>
    </row>
    <row r="233" spans="1:9" x14ac:dyDescent="0.3">
      <c r="A233" s="1" t="s">
        <v>344</v>
      </c>
      <c r="B233" s="1" t="s">
        <v>172</v>
      </c>
      <c r="C233" s="1" t="s">
        <v>176</v>
      </c>
      <c r="D233" s="1" t="s">
        <v>114</v>
      </c>
      <c r="E233" s="1" t="s">
        <v>26</v>
      </c>
      <c r="F233" s="1" t="s">
        <v>93</v>
      </c>
      <c r="G233" s="1" t="s">
        <v>53</v>
      </c>
      <c r="H233" s="1" t="s">
        <v>25</v>
      </c>
      <c r="I233" s="1"/>
    </row>
    <row r="234" spans="1:9" x14ac:dyDescent="0.3">
      <c r="A234" s="1" t="s">
        <v>345</v>
      </c>
      <c r="B234" s="1" t="s">
        <v>172</v>
      </c>
      <c r="C234" s="1" t="s">
        <v>176</v>
      </c>
      <c r="D234" s="1" t="s">
        <v>114</v>
      </c>
      <c r="E234" s="1" t="s">
        <v>37</v>
      </c>
      <c r="F234" s="1" t="s">
        <v>82</v>
      </c>
      <c r="G234" s="1" t="s">
        <v>82</v>
      </c>
      <c r="H234" s="1" t="s">
        <v>25</v>
      </c>
      <c r="I234" s="1"/>
    </row>
    <row r="235" spans="1:9" x14ac:dyDescent="0.3">
      <c r="A235" s="1" t="s">
        <v>346</v>
      </c>
      <c r="B235" s="1" t="s">
        <v>137</v>
      </c>
      <c r="C235" s="1" t="s">
        <v>176</v>
      </c>
      <c r="D235" s="1" t="s">
        <v>167</v>
      </c>
      <c r="E235" s="1" t="s">
        <v>26</v>
      </c>
      <c r="F235" s="1" t="s">
        <v>36</v>
      </c>
      <c r="G235" s="1" t="s">
        <v>52</v>
      </c>
      <c r="H235" s="1" t="s">
        <v>25</v>
      </c>
      <c r="I235" s="1"/>
    </row>
    <row r="236" spans="1:9" x14ac:dyDescent="0.3">
      <c r="A236" s="1" t="s">
        <v>347</v>
      </c>
      <c r="B236" s="1" t="s">
        <v>172</v>
      </c>
      <c r="C236" s="1" t="s">
        <v>176</v>
      </c>
      <c r="D236" s="1" t="s">
        <v>114</v>
      </c>
      <c r="E236" s="1" t="s">
        <v>37</v>
      </c>
      <c r="F236" s="1" t="s">
        <v>22</v>
      </c>
      <c r="G236" s="1" t="s">
        <v>22</v>
      </c>
      <c r="H236" s="1" t="s">
        <v>25</v>
      </c>
      <c r="I236" s="1"/>
    </row>
    <row r="237" spans="1:9" x14ac:dyDescent="0.3">
      <c r="A237" s="1" t="s">
        <v>348</v>
      </c>
      <c r="B237" s="1" t="s">
        <v>172</v>
      </c>
      <c r="C237" s="1" t="s">
        <v>175</v>
      </c>
      <c r="D237" s="1" t="s">
        <v>94</v>
      </c>
      <c r="E237" s="1" t="s">
        <v>37</v>
      </c>
      <c r="F237" s="1" t="s">
        <v>22</v>
      </c>
      <c r="G237" s="1" t="s">
        <v>22</v>
      </c>
      <c r="H237" s="1" t="s">
        <v>25</v>
      </c>
      <c r="I237" s="1"/>
    </row>
    <row r="238" spans="1:9" x14ac:dyDescent="0.3">
      <c r="A238" s="1" t="s">
        <v>349</v>
      </c>
      <c r="B238" s="1" t="s">
        <v>153</v>
      </c>
      <c r="C238" s="1" t="s">
        <v>175</v>
      </c>
      <c r="D238" s="1" t="s">
        <v>109</v>
      </c>
      <c r="E238" s="1" t="s">
        <v>37</v>
      </c>
      <c r="F238" s="1" t="s">
        <v>38</v>
      </c>
      <c r="G238" s="1" t="s">
        <v>38</v>
      </c>
      <c r="H238" s="1" t="s">
        <v>25</v>
      </c>
      <c r="I238" s="1"/>
    </row>
    <row r="239" spans="1:9" x14ac:dyDescent="0.3">
      <c r="A239" s="1" t="s">
        <v>350</v>
      </c>
      <c r="B239" s="1" t="s">
        <v>153</v>
      </c>
      <c r="C239" s="1" t="s">
        <v>175</v>
      </c>
      <c r="D239" s="1" t="s">
        <v>109</v>
      </c>
      <c r="E239" s="1" t="s">
        <v>37</v>
      </c>
      <c r="F239" s="1" t="s">
        <v>33</v>
      </c>
      <c r="G239" s="1" t="s">
        <v>33</v>
      </c>
      <c r="H239" s="1" t="s">
        <v>25</v>
      </c>
      <c r="I239" s="1"/>
    </row>
    <row r="240" spans="1:9" x14ac:dyDescent="0.3">
      <c r="A240" s="1" t="s">
        <v>351</v>
      </c>
      <c r="B240" s="1" t="s">
        <v>130</v>
      </c>
      <c r="C240" s="1" t="s">
        <v>175</v>
      </c>
      <c r="D240" s="1" t="s">
        <v>21</v>
      </c>
      <c r="E240" s="1" t="s">
        <v>26</v>
      </c>
      <c r="F240" s="1" t="s">
        <v>191</v>
      </c>
      <c r="G240" s="1" t="s">
        <v>208</v>
      </c>
      <c r="H240" s="1" t="s">
        <v>25</v>
      </c>
      <c r="I240" s="1"/>
    </row>
    <row r="241" spans="1:9" x14ac:dyDescent="0.3">
      <c r="A241" s="1" t="s">
        <v>352</v>
      </c>
      <c r="B241" s="1" t="s">
        <v>132</v>
      </c>
      <c r="C241" s="1" t="s">
        <v>188</v>
      </c>
      <c r="D241" s="1" t="s">
        <v>40</v>
      </c>
      <c r="E241" s="1" t="s">
        <v>22</v>
      </c>
      <c r="F241" s="1" t="s">
        <v>327</v>
      </c>
      <c r="G241" s="1" t="s">
        <v>330</v>
      </c>
      <c r="H241" s="1" t="s">
        <v>25</v>
      </c>
      <c r="I241" s="1"/>
    </row>
    <row r="242" spans="1:9" x14ac:dyDescent="0.3">
      <c r="A242" s="1" t="s">
        <v>353</v>
      </c>
      <c r="B242" s="1" t="s">
        <v>135</v>
      </c>
      <c r="C242" s="1" t="s">
        <v>188</v>
      </c>
      <c r="D242" s="1" t="s">
        <v>114</v>
      </c>
      <c r="E242" s="1" t="s">
        <v>22</v>
      </c>
      <c r="F242" s="1" t="s">
        <v>229</v>
      </c>
      <c r="G242" s="1" t="s">
        <v>249</v>
      </c>
      <c r="H242" s="1" t="s">
        <v>25</v>
      </c>
      <c r="I242" s="1"/>
    </row>
    <row r="243" spans="1:9" x14ac:dyDescent="0.3">
      <c r="A243" s="1" t="s">
        <v>354</v>
      </c>
      <c r="B243" s="1" t="s">
        <v>132</v>
      </c>
      <c r="C243" s="1" t="s">
        <v>188</v>
      </c>
      <c r="D243" s="1" t="s">
        <v>114</v>
      </c>
      <c r="E243" s="1" t="s">
        <v>22</v>
      </c>
      <c r="F243" s="1" t="s">
        <v>142</v>
      </c>
      <c r="G243" s="1" t="s">
        <v>106</v>
      </c>
      <c r="H243" s="1" t="s">
        <v>25</v>
      </c>
      <c r="I243" s="1"/>
    </row>
    <row r="244" spans="1:9" x14ac:dyDescent="0.3">
      <c r="A244" s="1" t="s">
        <v>355</v>
      </c>
      <c r="B244" s="1" t="s">
        <v>132</v>
      </c>
      <c r="C244" s="1" t="s">
        <v>133</v>
      </c>
      <c r="D244" s="1" t="s">
        <v>109</v>
      </c>
      <c r="E244" s="1" t="s">
        <v>34</v>
      </c>
      <c r="F244" s="1" t="s">
        <v>87</v>
      </c>
      <c r="G244" s="1" t="s">
        <v>71</v>
      </c>
      <c r="H244" s="1" t="s">
        <v>25</v>
      </c>
      <c r="I244" s="1"/>
    </row>
    <row r="245" spans="1:9" x14ac:dyDescent="0.3">
      <c r="A245" s="1" t="s">
        <v>356</v>
      </c>
      <c r="B245" s="1" t="s">
        <v>130</v>
      </c>
      <c r="C245" s="1" t="s">
        <v>188</v>
      </c>
      <c r="D245" s="1" t="s">
        <v>167</v>
      </c>
      <c r="E245" s="1" t="s">
        <v>26</v>
      </c>
      <c r="F245" s="1" t="s">
        <v>63</v>
      </c>
      <c r="G245" s="1" t="s">
        <v>152</v>
      </c>
      <c r="H245" s="1" t="s">
        <v>25</v>
      </c>
      <c r="I245" s="1"/>
    </row>
    <row r="246" spans="1:9" x14ac:dyDescent="0.3">
      <c r="A246" s="1" t="s">
        <v>357</v>
      </c>
      <c r="B246" s="1" t="s">
        <v>130</v>
      </c>
      <c r="C246" s="1" t="s">
        <v>176</v>
      </c>
      <c r="D246" s="1" t="s">
        <v>40</v>
      </c>
      <c r="E246" s="1" t="s">
        <v>38</v>
      </c>
      <c r="F246" s="1" t="s">
        <v>104</v>
      </c>
      <c r="G246" s="1" t="s">
        <v>80</v>
      </c>
      <c r="H246" s="1" t="s">
        <v>25</v>
      </c>
      <c r="I246" s="1"/>
    </row>
    <row r="247" spans="1:9" x14ac:dyDescent="0.3">
      <c r="A247" s="1" t="s">
        <v>358</v>
      </c>
      <c r="B247" s="1" t="s">
        <v>130</v>
      </c>
      <c r="C247" s="1" t="s">
        <v>176</v>
      </c>
      <c r="D247" s="1" t="s">
        <v>40</v>
      </c>
      <c r="E247" s="1" t="s">
        <v>22</v>
      </c>
      <c r="F247" s="1" t="s">
        <v>157</v>
      </c>
      <c r="G247" s="1" t="s">
        <v>145</v>
      </c>
      <c r="H247" s="1" t="s">
        <v>25</v>
      </c>
      <c r="I247" s="1"/>
    </row>
    <row r="248" spans="1:9" x14ac:dyDescent="0.3">
      <c r="A248" s="1" t="s">
        <v>359</v>
      </c>
      <c r="B248" s="1" t="s">
        <v>135</v>
      </c>
      <c r="C248" s="1" t="s">
        <v>28</v>
      </c>
      <c r="D248" s="1" t="s">
        <v>40</v>
      </c>
      <c r="E248" s="1" t="s">
        <v>26</v>
      </c>
      <c r="F248" s="1" t="s">
        <v>129</v>
      </c>
      <c r="G248" s="1" t="s">
        <v>68</v>
      </c>
      <c r="H248" s="1" t="s">
        <v>25</v>
      </c>
      <c r="I248" s="1"/>
    </row>
    <row r="249" spans="1:9" x14ac:dyDescent="0.3">
      <c r="A249" s="1" t="s">
        <v>360</v>
      </c>
      <c r="B249" s="1" t="s">
        <v>172</v>
      </c>
      <c r="C249" s="1" t="s">
        <v>42</v>
      </c>
      <c r="D249" s="1" t="s">
        <v>98</v>
      </c>
      <c r="E249" s="1" t="s">
        <v>34</v>
      </c>
      <c r="F249" s="1" t="s">
        <v>162</v>
      </c>
      <c r="G249" s="1" t="s">
        <v>116</v>
      </c>
      <c r="H249" s="1" t="s">
        <v>25</v>
      </c>
      <c r="I249" s="1"/>
    </row>
    <row r="250" spans="1:9" x14ac:dyDescent="0.3">
      <c r="A250" s="1" t="s">
        <v>361</v>
      </c>
      <c r="B250" s="1" t="s">
        <v>172</v>
      </c>
      <c r="C250" s="1" t="s">
        <v>42</v>
      </c>
      <c r="D250" s="1" t="s">
        <v>98</v>
      </c>
      <c r="E250" s="1" t="s">
        <v>38</v>
      </c>
      <c r="F250" s="1" t="s">
        <v>249</v>
      </c>
      <c r="G250" s="1" t="s">
        <v>257</v>
      </c>
      <c r="H250" s="1" t="s">
        <v>25</v>
      </c>
      <c r="I250" s="1"/>
    </row>
    <row r="251" spans="1:9" x14ac:dyDescent="0.3">
      <c r="A251" s="1" t="s">
        <v>362</v>
      </c>
      <c r="B251" s="1" t="s">
        <v>153</v>
      </c>
      <c r="C251" s="1" t="s">
        <v>286</v>
      </c>
      <c r="D251" s="1" t="s">
        <v>167</v>
      </c>
      <c r="E251" s="1" t="s">
        <v>18</v>
      </c>
      <c r="F251" s="1" t="s">
        <v>69</v>
      </c>
      <c r="G251" s="1" t="s">
        <v>206</v>
      </c>
      <c r="H251" s="1" t="s">
        <v>25</v>
      </c>
      <c r="I251" s="1"/>
    </row>
    <row r="252" spans="1:9" x14ac:dyDescent="0.3">
      <c r="A252" s="1" t="s">
        <v>363</v>
      </c>
      <c r="B252" s="1" t="s">
        <v>130</v>
      </c>
      <c r="C252" s="1" t="s">
        <v>286</v>
      </c>
      <c r="D252" s="1" t="s">
        <v>21</v>
      </c>
      <c r="E252" s="1" t="s">
        <v>37</v>
      </c>
      <c r="F252" s="1" t="s">
        <v>142</v>
      </c>
      <c r="G252" s="1" t="s">
        <v>142</v>
      </c>
      <c r="H252" s="1" t="s">
        <v>25</v>
      </c>
      <c r="I252" s="1"/>
    </row>
    <row r="253" spans="1:9" x14ac:dyDescent="0.3">
      <c r="A253" s="1" t="s">
        <v>364</v>
      </c>
      <c r="B253" s="1" t="s">
        <v>172</v>
      </c>
      <c r="C253" s="1" t="s">
        <v>286</v>
      </c>
      <c r="D253" s="1" t="s">
        <v>94</v>
      </c>
      <c r="E253" s="1" t="s">
        <v>37</v>
      </c>
      <c r="F253" s="1" t="s">
        <v>30</v>
      </c>
      <c r="G253" s="1" t="s">
        <v>30</v>
      </c>
      <c r="H253" s="1" t="s">
        <v>25</v>
      </c>
      <c r="I253" s="1"/>
    </row>
    <row r="254" spans="1:9" x14ac:dyDescent="0.3">
      <c r="A254" s="1" t="s">
        <v>365</v>
      </c>
      <c r="B254" s="1" t="s">
        <v>135</v>
      </c>
      <c r="C254" s="1" t="s">
        <v>42</v>
      </c>
      <c r="D254" s="1" t="s">
        <v>40</v>
      </c>
      <c r="E254" s="1" t="s">
        <v>37</v>
      </c>
      <c r="F254" s="1" t="s">
        <v>86</v>
      </c>
      <c r="G254" s="1" t="s">
        <v>86</v>
      </c>
      <c r="H254" s="1" t="s">
        <v>25</v>
      </c>
      <c r="I254" s="1"/>
    </row>
    <row r="255" spans="1:9" x14ac:dyDescent="0.3">
      <c r="A255" s="1" t="s">
        <v>366</v>
      </c>
      <c r="B255" s="1" t="s">
        <v>153</v>
      </c>
      <c r="C255" s="1" t="s">
        <v>286</v>
      </c>
      <c r="D255" s="1" t="s">
        <v>167</v>
      </c>
      <c r="E255" s="1" t="s">
        <v>18</v>
      </c>
      <c r="F255" s="1" t="s">
        <v>99</v>
      </c>
      <c r="G255" s="1" t="s">
        <v>62</v>
      </c>
      <c r="H255" s="1" t="s">
        <v>25</v>
      </c>
      <c r="I255" s="1"/>
    </row>
    <row r="256" spans="1:9" x14ac:dyDescent="0.3">
      <c r="A256" s="1" t="s">
        <v>367</v>
      </c>
      <c r="B256" s="1" t="s">
        <v>135</v>
      </c>
      <c r="C256" s="1" t="s">
        <v>286</v>
      </c>
      <c r="D256" s="1" t="s">
        <v>40</v>
      </c>
      <c r="E256" s="1" t="s">
        <v>18</v>
      </c>
      <c r="F256" s="1" t="s">
        <v>82</v>
      </c>
      <c r="G256" s="1" t="s">
        <v>84</v>
      </c>
      <c r="H256" s="1" t="s">
        <v>25</v>
      </c>
      <c r="I256" s="1"/>
    </row>
    <row r="257" spans="1:9" x14ac:dyDescent="0.3">
      <c r="A257" s="1" t="s">
        <v>368</v>
      </c>
      <c r="B257" s="1" t="s">
        <v>135</v>
      </c>
      <c r="C257" s="1" t="s">
        <v>42</v>
      </c>
      <c r="D257" s="1" t="s">
        <v>40</v>
      </c>
      <c r="E257" s="1" t="s">
        <v>37</v>
      </c>
      <c r="F257" s="1" t="s">
        <v>41</v>
      </c>
      <c r="G257" s="1" t="s">
        <v>41</v>
      </c>
      <c r="H257" s="1" t="s">
        <v>25</v>
      </c>
      <c r="I257" s="1"/>
    </row>
    <row r="258" spans="1:9" x14ac:dyDescent="0.3">
      <c r="A258" s="1" t="s">
        <v>369</v>
      </c>
      <c r="B258" s="1" t="s">
        <v>153</v>
      </c>
      <c r="C258" s="1" t="s">
        <v>42</v>
      </c>
      <c r="D258" s="1" t="s">
        <v>167</v>
      </c>
      <c r="E258" s="1" t="s">
        <v>37</v>
      </c>
      <c r="F258" s="1" t="s">
        <v>38</v>
      </c>
      <c r="G258" s="1" t="s">
        <v>38</v>
      </c>
      <c r="H258" s="1" t="s">
        <v>25</v>
      </c>
      <c r="I258" s="1"/>
    </row>
    <row r="259" spans="1:9" x14ac:dyDescent="0.3">
      <c r="A259" s="1" t="s">
        <v>370</v>
      </c>
      <c r="B259" s="1" t="s">
        <v>172</v>
      </c>
      <c r="C259" s="1" t="s">
        <v>42</v>
      </c>
      <c r="D259" s="1" t="s">
        <v>109</v>
      </c>
      <c r="E259" s="1" t="s">
        <v>37</v>
      </c>
      <c r="F259" s="1" t="s">
        <v>18</v>
      </c>
      <c r="G259" s="1" t="s">
        <v>18</v>
      </c>
      <c r="H259" s="1" t="s">
        <v>25</v>
      </c>
      <c r="I259" s="1"/>
    </row>
    <row r="260" spans="1:9" x14ac:dyDescent="0.3">
      <c r="A260" s="1" t="s">
        <v>371</v>
      </c>
      <c r="B260" s="1" t="s">
        <v>172</v>
      </c>
      <c r="C260" s="1" t="s">
        <v>42</v>
      </c>
      <c r="D260" s="1" t="s">
        <v>114</v>
      </c>
      <c r="E260" s="1" t="s">
        <v>37</v>
      </c>
      <c r="F260" s="1" t="s">
        <v>32</v>
      </c>
      <c r="G260" s="1" t="s">
        <v>32</v>
      </c>
      <c r="H260" s="1" t="s">
        <v>25</v>
      </c>
      <c r="I260" s="1"/>
    </row>
    <row r="261" spans="1:9" x14ac:dyDescent="0.3">
      <c r="A261" s="1" t="s">
        <v>372</v>
      </c>
      <c r="B261" s="1" t="s">
        <v>172</v>
      </c>
      <c r="C261" s="1" t="s">
        <v>286</v>
      </c>
      <c r="D261" s="1" t="s">
        <v>109</v>
      </c>
      <c r="E261" s="1" t="s">
        <v>37</v>
      </c>
      <c r="F261" s="1" t="s">
        <v>24</v>
      </c>
      <c r="G261" s="1" t="s">
        <v>24</v>
      </c>
      <c r="H261" s="1" t="s">
        <v>25</v>
      </c>
      <c r="I261" s="1"/>
    </row>
    <row r="262" spans="1:9" x14ac:dyDescent="0.3">
      <c r="A262" s="1" t="s">
        <v>373</v>
      </c>
      <c r="B262" s="1" t="s">
        <v>172</v>
      </c>
      <c r="C262" s="1" t="s">
        <v>173</v>
      </c>
      <c r="D262" s="1" t="s">
        <v>109</v>
      </c>
      <c r="E262" s="1" t="s">
        <v>37</v>
      </c>
      <c r="F262" s="1" t="s">
        <v>106</v>
      </c>
      <c r="G262" s="1" t="s">
        <v>106</v>
      </c>
      <c r="H262" s="1" t="s">
        <v>25</v>
      </c>
      <c r="I262" s="1"/>
    </row>
    <row r="263" spans="1:9" x14ac:dyDescent="0.3">
      <c r="A263" s="1" t="s">
        <v>374</v>
      </c>
      <c r="B263" s="1" t="s">
        <v>137</v>
      </c>
      <c r="C263" s="1" t="s">
        <v>176</v>
      </c>
      <c r="D263" s="1" t="s">
        <v>114</v>
      </c>
      <c r="E263" s="1" t="s">
        <v>22</v>
      </c>
      <c r="F263" s="1" t="s">
        <v>244</v>
      </c>
      <c r="G263" s="1" t="s">
        <v>246</v>
      </c>
      <c r="H263" s="1" t="s">
        <v>25</v>
      </c>
      <c r="I263" s="1"/>
    </row>
    <row r="264" spans="1:9" x14ac:dyDescent="0.3">
      <c r="A264" s="1" t="s">
        <v>375</v>
      </c>
      <c r="B264" s="1" t="s">
        <v>140</v>
      </c>
      <c r="C264" s="1" t="s">
        <v>176</v>
      </c>
      <c r="D264" s="1" t="s">
        <v>122</v>
      </c>
      <c r="E264" s="1" t="s">
        <v>22</v>
      </c>
      <c r="F264" s="1" t="s">
        <v>183</v>
      </c>
      <c r="G264" s="1" t="s">
        <v>150</v>
      </c>
      <c r="H264" s="1" t="s">
        <v>25</v>
      </c>
      <c r="I264" s="1"/>
    </row>
    <row r="265" spans="1:9" x14ac:dyDescent="0.3">
      <c r="A265" s="1" t="s">
        <v>376</v>
      </c>
      <c r="B265" s="1" t="s">
        <v>153</v>
      </c>
      <c r="C265" s="1" t="s">
        <v>175</v>
      </c>
      <c r="D265" s="1" t="s">
        <v>98</v>
      </c>
      <c r="E265" s="1" t="s">
        <v>37</v>
      </c>
      <c r="F265" s="1" t="s">
        <v>100</v>
      </c>
      <c r="G265" s="1" t="s">
        <v>100</v>
      </c>
      <c r="H265" s="1" t="s">
        <v>25</v>
      </c>
      <c r="I265" s="1"/>
    </row>
    <row r="266" spans="1:9" x14ac:dyDescent="0.3">
      <c r="A266" s="1" t="s">
        <v>377</v>
      </c>
      <c r="B266" s="1" t="s">
        <v>153</v>
      </c>
      <c r="C266" s="1" t="s">
        <v>188</v>
      </c>
      <c r="D266" s="1" t="s">
        <v>141</v>
      </c>
      <c r="E266" s="1" t="s">
        <v>22</v>
      </c>
      <c r="F266" s="1" t="s">
        <v>30</v>
      </c>
      <c r="G266" s="1" t="s">
        <v>71</v>
      </c>
      <c r="H266" s="1" t="s">
        <v>25</v>
      </c>
      <c r="I266" s="1"/>
    </row>
    <row r="267" spans="1:9" x14ac:dyDescent="0.3">
      <c r="A267" s="1" t="s">
        <v>378</v>
      </c>
      <c r="B267" s="1" t="s">
        <v>172</v>
      </c>
      <c r="C267" s="1" t="s">
        <v>133</v>
      </c>
      <c r="D267" s="1" t="s">
        <v>379</v>
      </c>
      <c r="E267" s="1" t="s">
        <v>22</v>
      </c>
      <c r="F267" s="1" t="s">
        <v>80</v>
      </c>
      <c r="G267" s="1" t="s">
        <v>63</v>
      </c>
      <c r="H267" s="1" t="s">
        <v>25</v>
      </c>
      <c r="I267" s="1"/>
    </row>
    <row r="268" spans="1:9" x14ac:dyDescent="0.3">
      <c r="A268" s="1" t="s">
        <v>380</v>
      </c>
      <c r="B268" s="1" t="s">
        <v>135</v>
      </c>
      <c r="C268" s="1" t="s">
        <v>131</v>
      </c>
      <c r="D268" s="1" t="s">
        <v>128</v>
      </c>
      <c r="E268" s="1" t="s">
        <v>37</v>
      </c>
      <c r="F268" s="1" t="s">
        <v>136</v>
      </c>
      <c r="G268" s="1" t="s">
        <v>136</v>
      </c>
      <c r="H268" s="1" t="s">
        <v>25</v>
      </c>
      <c r="I268" s="1"/>
    </row>
    <row r="269" spans="1:9" x14ac:dyDescent="0.3">
      <c r="A269" s="1" t="s">
        <v>381</v>
      </c>
      <c r="B269" s="1" t="s">
        <v>153</v>
      </c>
      <c r="C269" s="1" t="s">
        <v>133</v>
      </c>
      <c r="D269" s="1" t="s">
        <v>122</v>
      </c>
      <c r="E269" s="1" t="s">
        <v>37</v>
      </c>
      <c r="F269" s="1" t="s">
        <v>126</v>
      </c>
      <c r="G269" s="1" t="s">
        <v>126</v>
      </c>
      <c r="H269" s="1" t="s">
        <v>25</v>
      </c>
      <c r="I269" s="1"/>
    </row>
    <row r="270" spans="1:9" x14ac:dyDescent="0.3">
      <c r="A270" s="1" t="s">
        <v>382</v>
      </c>
      <c r="B270" s="1" t="s">
        <v>137</v>
      </c>
      <c r="C270" s="1" t="s">
        <v>133</v>
      </c>
      <c r="D270" s="1" t="s">
        <v>138</v>
      </c>
      <c r="E270" s="1" t="s">
        <v>18</v>
      </c>
      <c r="F270" s="1" t="s">
        <v>134</v>
      </c>
      <c r="G270" s="1" t="s">
        <v>136</v>
      </c>
      <c r="H270" s="1" t="s">
        <v>25</v>
      </c>
      <c r="I270" s="1"/>
    </row>
    <row r="271" spans="1:9" x14ac:dyDescent="0.3">
      <c r="A271" s="1" t="s">
        <v>383</v>
      </c>
      <c r="B271" s="1" t="s">
        <v>135</v>
      </c>
      <c r="C271" s="1" t="s">
        <v>131</v>
      </c>
      <c r="D271" s="1" t="s">
        <v>122</v>
      </c>
      <c r="E271" s="1" t="s">
        <v>32</v>
      </c>
      <c r="F271" s="1" t="s">
        <v>145</v>
      </c>
      <c r="G271" s="1" t="s">
        <v>171</v>
      </c>
      <c r="H271" s="1" t="s">
        <v>25</v>
      </c>
      <c r="I271" s="1"/>
    </row>
    <row r="272" spans="1:9" x14ac:dyDescent="0.3">
      <c r="A272" s="1" t="s">
        <v>384</v>
      </c>
      <c r="B272" s="1" t="s">
        <v>153</v>
      </c>
      <c r="C272" s="1" t="s">
        <v>133</v>
      </c>
      <c r="D272" s="1" t="s">
        <v>128</v>
      </c>
      <c r="E272" s="1" t="s">
        <v>37</v>
      </c>
      <c r="F272" s="1" t="s">
        <v>260</v>
      </c>
      <c r="G272" s="1" t="s">
        <v>260</v>
      </c>
      <c r="H272" s="1" t="s">
        <v>25</v>
      </c>
      <c r="I272" s="1"/>
    </row>
    <row r="273" spans="1:9" x14ac:dyDescent="0.3">
      <c r="A273" s="1" t="s">
        <v>385</v>
      </c>
      <c r="B273" s="1" t="s">
        <v>172</v>
      </c>
      <c r="C273" s="1" t="s">
        <v>133</v>
      </c>
      <c r="D273" s="1" t="s">
        <v>310</v>
      </c>
      <c r="E273" s="1" t="s">
        <v>26</v>
      </c>
      <c r="F273" s="1" t="s">
        <v>256</v>
      </c>
      <c r="G273" s="1" t="s">
        <v>258</v>
      </c>
      <c r="H273" s="1" t="s">
        <v>25</v>
      </c>
      <c r="I273" s="1"/>
    </row>
    <row r="274" spans="1:9" x14ac:dyDescent="0.3">
      <c r="A274" s="1" t="s">
        <v>386</v>
      </c>
      <c r="B274" s="1" t="s">
        <v>172</v>
      </c>
      <c r="C274" s="1" t="s">
        <v>133</v>
      </c>
      <c r="D274" s="1" t="s">
        <v>138</v>
      </c>
      <c r="E274" s="1" t="s">
        <v>18</v>
      </c>
      <c r="F274" s="1" t="s">
        <v>189</v>
      </c>
      <c r="G274" s="1" t="s">
        <v>192</v>
      </c>
      <c r="H274" s="1" t="s">
        <v>25</v>
      </c>
      <c r="I274" s="1"/>
    </row>
    <row r="275" spans="1:9" x14ac:dyDescent="0.3">
      <c r="A275" s="1" t="s">
        <v>387</v>
      </c>
      <c r="B275" s="1" t="s">
        <v>140</v>
      </c>
      <c r="C275" s="1" t="s">
        <v>144</v>
      </c>
      <c r="D275" s="1" t="s">
        <v>122</v>
      </c>
      <c r="E275" s="1" t="s">
        <v>26</v>
      </c>
      <c r="F275" s="1" t="s">
        <v>106</v>
      </c>
      <c r="G275" s="1" t="s">
        <v>59</v>
      </c>
      <c r="H275" s="1" t="s">
        <v>25</v>
      </c>
      <c r="I275" s="1"/>
    </row>
    <row r="276" spans="1:9" x14ac:dyDescent="0.3">
      <c r="A276" s="1" t="s">
        <v>388</v>
      </c>
      <c r="B276" s="1" t="s">
        <v>140</v>
      </c>
      <c r="C276" s="1" t="s">
        <v>175</v>
      </c>
      <c r="D276" s="1" t="s">
        <v>122</v>
      </c>
      <c r="E276" s="1" t="s">
        <v>37</v>
      </c>
      <c r="F276" s="1" t="s">
        <v>152</v>
      </c>
      <c r="G276" s="1" t="s">
        <v>152</v>
      </c>
      <c r="H276" s="1" t="s">
        <v>25</v>
      </c>
      <c r="I276" s="1"/>
    </row>
    <row r="277" spans="1:9" x14ac:dyDescent="0.3">
      <c r="A277" s="1" t="s">
        <v>389</v>
      </c>
      <c r="B277" s="1" t="s">
        <v>146</v>
      </c>
      <c r="C277" s="1" t="s">
        <v>175</v>
      </c>
      <c r="D277" s="1" t="s">
        <v>125</v>
      </c>
      <c r="E277" s="1" t="s">
        <v>18</v>
      </c>
      <c r="F277" s="1" t="s">
        <v>30</v>
      </c>
      <c r="G277" s="1" t="s">
        <v>103</v>
      </c>
      <c r="H277" s="1" t="s">
        <v>25</v>
      </c>
      <c r="I277" s="1"/>
    </row>
    <row r="278" spans="1:9" x14ac:dyDescent="0.3">
      <c r="A278" s="1" t="s">
        <v>390</v>
      </c>
      <c r="B278" s="1" t="s">
        <v>143</v>
      </c>
      <c r="C278" s="1" t="s">
        <v>176</v>
      </c>
      <c r="D278" s="1" t="s">
        <v>138</v>
      </c>
      <c r="E278" s="1" t="s">
        <v>18</v>
      </c>
      <c r="F278" s="1" t="s">
        <v>84</v>
      </c>
      <c r="G278" s="1" t="s">
        <v>86</v>
      </c>
      <c r="H278" s="1" t="s">
        <v>25</v>
      </c>
      <c r="I278" s="1"/>
    </row>
    <row r="279" spans="1:9" x14ac:dyDescent="0.3">
      <c r="A279" s="1" t="s">
        <v>391</v>
      </c>
      <c r="B279" s="1" t="s">
        <v>146</v>
      </c>
      <c r="C279" s="1" t="s">
        <v>176</v>
      </c>
      <c r="D279" s="1" t="s">
        <v>56</v>
      </c>
      <c r="E279" s="1" t="s">
        <v>18</v>
      </c>
      <c r="F279" s="1" t="s">
        <v>38</v>
      </c>
      <c r="G279" s="1" t="s">
        <v>41</v>
      </c>
      <c r="H279" s="1" t="s">
        <v>25</v>
      </c>
      <c r="I279" s="1"/>
    </row>
    <row r="280" spans="1:9" x14ac:dyDescent="0.3">
      <c r="A280" s="1" t="s">
        <v>392</v>
      </c>
      <c r="B280" s="1" t="s">
        <v>146</v>
      </c>
      <c r="C280" s="1" t="s">
        <v>144</v>
      </c>
      <c r="D280" s="1" t="s">
        <v>56</v>
      </c>
      <c r="E280" s="1" t="s">
        <v>37</v>
      </c>
      <c r="F280" s="1" t="s">
        <v>26</v>
      </c>
      <c r="G280" s="1" t="s">
        <v>26</v>
      </c>
      <c r="H280" s="1" t="s">
        <v>25</v>
      </c>
      <c r="I280" s="1"/>
    </row>
    <row r="281" spans="1:9" x14ac:dyDescent="0.3">
      <c r="A281" s="1" t="s">
        <v>393</v>
      </c>
      <c r="B281" s="1" t="s">
        <v>146</v>
      </c>
      <c r="C281" s="1" t="s">
        <v>144</v>
      </c>
      <c r="D281" s="1" t="s">
        <v>128</v>
      </c>
      <c r="E281" s="1" t="s">
        <v>37</v>
      </c>
      <c r="F281" s="1" t="s">
        <v>26</v>
      </c>
      <c r="G281" s="1" t="s">
        <v>26</v>
      </c>
      <c r="H281" s="1" t="s">
        <v>25</v>
      </c>
      <c r="I281" s="1"/>
    </row>
    <row r="282" spans="1:9" x14ac:dyDescent="0.3">
      <c r="A282" s="1" t="s">
        <v>394</v>
      </c>
      <c r="B282" s="1" t="s">
        <v>146</v>
      </c>
      <c r="C282" s="1" t="s">
        <v>144</v>
      </c>
      <c r="D282" s="1" t="s">
        <v>122</v>
      </c>
      <c r="E282" s="1" t="s">
        <v>37</v>
      </c>
      <c r="F282" s="1" t="s">
        <v>22</v>
      </c>
      <c r="G282" s="1" t="s">
        <v>22</v>
      </c>
      <c r="H282" s="1" t="s">
        <v>25</v>
      </c>
      <c r="I282" s="1"/>
    </row>
    <row r="283" spans="1:9" x14ac:dyDescent="0.3">
      <c r="A283" s="1" t="s">
        <v>395</v>
      </c>
      <c r="B283" s="1" t="s">
        <v>146</v>
      </c>
      <c r="C283" s="1" t="s">
        <v>144</v>
      </c>
      <c r="D283" s="1" t="s">
        <v>51</v>
      </c>
      <c r="E283" s="1" t="s">
        <v>37</v>
      </c>
      <c r="F283" s="1" t="s">
        <v>34</v>
      </c>
      <c r="G283" s="1" t="s">
        <v>34</v>
      </c>
      <c r="H283" s="1" t="s">
        <v>25</v>
      </c>
      <c r="I283" s="1"/>
    </row>
    <row r="284" spans="1:9" x14ac:dyDescent="0.3">
      <c r="A284" s="1" t="s">
        <v>396</v>
      </c>
      <c r="B284" s="1" t="s">
        <v>146</v>
      </c>
      <c r="C284" s="1" t="s">
        <v>144</v>
      </c>
      <c r="D284" s="1" t="s">
        <v>67</v>
      </c>
      <c r="E284" s="1" t="s">
        <v>37</v>
      </c>
      <c r="F284" s="1" t="s">
        <v>22</v>
      </c>
      <c r="G284" s="1" t="s">
        <v>22</v>
      </c>
      <c r="H284" s="1" t="s">
        <v>25</v>
      </c>
      <c r="I284" s="1"/>
    </row>
    <row r="285" spans="1:9" x14ac:dyDescent="0.3">
      <c r="A285" s="1" t="s">
        <v>397</v>
      </c>
      <c r="B285" s="1" t="s">
        <v>172</v>
      </c>
      <c r="C285" s="1" t="s">
        <v>328</v>
      </c>
      <c r="D285" s="1" t="s">
        <v>109</v>
      </c>
      <c r="E285" s="1" t="s">
        <v>37</v>
      </c>
      <c r="F285" s="1" t="s">
        <v>99</v>
      </c>
      <c r="G285" s="1" t="s">
        <v>99</v>
      </c>
      <c r="H285" s="1" t="s">
        <v>25</v>
      </c>
      <c r="I285" s="1"/>
    </row>
    <row r="286" spans="1:9" x14ac:dyDescent="0.3">
      <c r="A286" s="1" t="s">
        <v>398</v>
      </c>
      <c r="B286" s="1" t="s">
        <v>172</v>
      </c>
      <c r="C286" s="1" t="s">
        <v>328</v>
      </c>
      <c r="D286" s="1" t="s">
        <v>109</v>
      </c>
      <c r="E286" s="1" t="s">
        <v>37</v>
      </c>
      <c r="F286" s="1" t="s">
        <v>162</v>
      </c>
      <c r="G286" s="1" t="s">
        <v>162</v>
      </c>
      <c r="H286" s="1" t="s">
        <v>25</v>
      </c>
      <c r="I286" s="1"/>
    </row>
    <row r="287" spans="1:9" x14ac:dyDescent="0.3">
      <c r="A287" s="1" t="s">
        <v>399</v>
      </c>
      <c r="B287" s="1" t="s">
        <v>140</v>
      </c>
      <c r="C287" s="1" t="s">
        <v>144</v>
      </c>
      <c r="D287" s="1" t="s">
        <v>94</v>
      </c>
      <c r="E287" s="1" t="s">
        <v>32</v>
      </c>
      <c r="F287" s="1" t="s">
        <v>312</v>
      </c>
      <c r="G287" s="1" t="s">
        <v>198</v>
      </c>
      <c r="H287" s="1" t="s">
        <v>25</v>
      </c>
      <c r="I287" s="1"/>
    </row>
    <row r="288" spans="1:9" x14ac:dyDescent="0.3">
      <c r="A288" s="1" t="s">
        <v>400</v>
      </c>
      <c r="B288" s="1" t="s">
        <v>146</v>
      </c>
      <c r="C288" s="1" t="s">
        <v>144</v>
      </c>
      <c r="D288" s="1" t="s">
        <v>122</v>
      </c>
      <c r="E288" s="1" t="s">
        <v>26</v>
      </c>
      <c r="F288" s="1" t="s">
        <v>258</v>
      </c>
      <c r="G288" s="1" t="s">
        <v>260</v>
      </c>
      <c r="H288" s="1" t="s">
        <v>25</v>
      </c>
      <c r="I288" s="1"/>
    </row>
    <row r="289" spans="1:9" x14ac:dyDescent="0.3">
      <c r="A289" s="1" t="s">
        <v>401</v>
      </c>
      <c r="B289" s="1" t="s">
        <v>140</v>
      </c>
      <c r="C289" s="1" t="s">
        <v>144</v>
      </c>
      <c r="D289" s="1" t="s">
        <v>128</v>
      </c>
      <c r="E289" s="1" t="s">
        <v>26</v>
      </c>
      <c r="F289" s="1" t="s">
        <v>54</v>
      </c>
      <c r="G289" s="1" t="s">
        <v>112</v>
      </c>
      <c r="H289" s="1" t="s">
        <v>25</v>
      </c>
      <c r="I289" s="1"/>
    </row>
    <row r="290" spans="1:9" x14ac:dyDescent="0.3">
      <c r="A290" s="1" t="s">
        <v>402</v>
      </c>
      <c r="B290" s="1" t="s">
        <v>137</v>
      </c>
      <c r="C290" s="1" t="s">
        <v>131</v>
      </c>
      <c r="D290" s="1" t="s">
        <v>125</v>
      </c>
      <c r="E290" s="1" t="s">
        <v>34</v>
      </c>
      <c r="F290" s="1" t="s">
        <v>103</v>
      </c>
      <c r="G290" s="1" t="s">
        <v>88</v>
      </c>
      <c r="H290" s="1" t="s">
        <v>25</v>
      </c>
      <c r="I290" s="1"/>
    </row>
    <row r="291" spans="1:9" x14ac:dyDescent="0.3">
      <c r="A291" s="1" t="s">
        <v>403</v>
      </c>
      <c r="B291" s="1" t="s">
        <v>137</v>
      </c>
      <c r="C291" s="1" t="s">
        <v>131</v>
      </c>
      <c r="D291" s="1" t="s">
        <v>138</v>
      </c>
      <c r="E291" s="1" t="s">
        <v>22</v>
      </c>
      <c r="F291" s="1" t="s">
        <v>136</v>
      </c>
      <c r="G291" s="1" t="s">
        <v>80</v>
      </c>
      <c r="H291" s="1" t="s">
        <v>25</v>
      </c>
      <c r="I291" s="1"/>
    </row>
    <row r="292" spans="1:9" x14ac:dyDescent="0.3">
      <c r="A292" s="1" t="s">
        <v>404</v>
      </c>
      <c r="B292" s="1" t="s">
        <v>135</v>
      </c>
      <c r="C292" s="1" t="s">
        <v>405</v>
      </c>
      <c r="D292" s="1" t="s">
        <v>125</v>
      </c>
      <c r="E292" s="1" t="s">
        <v>26</v>
      </c>
      <c r="F292" s="1" t="s">
        <v>150</v>
      </c>
      <c r="G292" s="1" t="s">
        <v>192</v>
      </c>
      <c r="H292" s="1" t="s">
        <v>25</v>
      </c>
      <c r="I292" s="1"/>
    </row>
    <row r="293" spans="1:9" x14ac:dyDescent="0.3">
      <c r="A293" s="1" t="s">
        <v>406</v>
      </c>
      <c r="B293" s="1" t="s">
        <v>135</v>
      </c>
      <c r="C293" s="1" t="s">
        <v>405</v>
      </c>
      <c r="D293" s="1" t="s">
        <v>141</v>
      </c>
      <c r="E293" s="1" t="s">
        <v>22</v>
      </c>
      <c r="F293" s="1" t="s">
        <v>100</v>
      </c>
      <c r="G293" s="1" t="s">
        <v>120</v>
      </c>
      <c r="H293" s="1" t="s">
        <v>25</v>
      </c>
      <c r="I293" s="1"/>
    </row>
    <row r="294" spans="1:9" x14ac:dyDescent="0.3">
      <c r="A294" s="1" t="s">
        <v>407</v>
      </c>
      <c r="B294" s="1" t="s">
        <v>132</v>
      </c>
      <c r="C294" s="1" t="s">
        <v>223</v>
      </c>
      <c r="D294" s="1" t="s">
        <v>67</v>
      </c>
      <c r="E294" s="1" t="s">
        <v>32</v>
      </c>
      <c r="F294" s="1" t="s">
        <v>63</v>
      </c>
      <c r="G294" s="1" t="s">
        <v>157</v>
      </c>
      <c r="H294" s="1" t="s">
        <v>25</v>
      </c>
      <c r="I294" s="1"/>
    </row>
    <row r="295" spans="1:9" x14ac:dyDescent="0.3">
      <c r="A295" s="1" t="s">
        <v>408</v>
      </c>
      <c r="B295" s="1" t="s">
        <v>132</v>
      </c>
      <c r="C295" s="1" t="s">
        <v>223</v>
      </c>
      <c r="D295" s="1" t="s">
        <v>128</v>
      </c>
      <c r="E295" s="1" t="s">
        <v>26</v>
      </c>
      <c r="F295" s="1" t="s">
        <v>116</v>
      </c>
      <c r="G295" s="1" t="s">
        <v>183</v>
      </c>
      <c r="H295" s="1" t="s">
        <v>25</v>
      </c>
      <c r="I295" s="1"/>
    </row>
    <row r="296" spans="1:9" x14ac:dyDescent="0.3">
      <c r="A296" s="1" t="s">
        <v>409</v>
      </c>
      <c r="B296" s="1" t="s">
        <v>153</v>
      </c>
      <c r="C296" s="1" t="s">
        <v>154</v>
      </c>
      <c r="D296" s="1" t="s">
        <v>56</v>
      </c>
      <c r="E296" s="1" t="s">
        <v>34</v>
      </c>
      <c r="F296" s="1" t="s">
        <v>254</v>
      </c>
      <c r="G296" s="1" t="s">
        <v>280</v>
      </c>
      <c r="H296" s="1" t="s">
        <v>25</v>
      </c>
      <c r="I296" s="1"/>
    </row>
    <row r="297" spans="1:9" x14ac:dyDescent="0.3">
      <c r="A297" s="1" t="s">
        <v>410</v>
      </c>
      <c r="B297" s="1" t="s">
        <v>153</v>
      </c>
      <c r="C297" s="1" t="s">
        <v>154</v>
      </c>
      <c r="D297" s="1" t="s">
        <v>122</v>
      </c>
      <c r="E297" s="1" t="s">
        <v>22</v>
      </c>
      <c r="F297" s="1" t="s">
        <v>262</v>
      </c>
      <c r="G297" s="1" t="s">
        <v>265</v>
      </c>
      <c r="H297" s="1" t="s">
        <v>25</v>
      </c>
      <c r="I297" s="1"/>
    </row>
    <row r="298" spans="1:9" x14ac:dyDescent="0.3">
      <c r="A298" s="1" t="s">
        <v>411</v>
      </c>
      <c r="B298" s="1" t="s">
        <v>172</v>
      </c>
      <c r="C298" s="1" t="s">
        <v>133</v>
      </c>
      <c r="D298" s="1" t="s">
        <v>51</v>
      </c>
      <c r="E298" s="1" t="s">
        <v>18</v>
      </c>
      <c r="F298" s="1" t="s">
        <v>184</v>
      </c>
      <c r="G298" s="1" t="s">
        <v>208</v>
      </c>
      <c r="H298" s="1" t="s">
        <v>25</v>
      </c>
      <c r="I298" s="1"/>
    </row>
    <row r="299" spans="1:9" x14ac:dyDescent="0.3">
      <c r="A299" s="1" t="s">
        <v>412</v>
      </c>
      <c r="B299" s="1" t="s">
        <v>172</v>
      </c>
      <c r="C299" s="1" t="s">
        <v>133</v>
      </c>
      <c r="D299" s="1" t="s">
        <v>98</v>
      </c>
      <c r="E299" s="1" t="s">
        <v>37</v>
      </c>
      <c r="F299" s="1" t="s">
        <v>110</v>
      </c>
      <c r="G299" s="1" t="s">
        <v>110</v>
      </c>
      <c r="H299" s="1" t="s">
        <v>25</v>
      </c>
      <c r="I299" s="1"/>
    </row>
    <row r="300" spans="1:9" x14ac:dyDescent="0.3">
      <c r="A300" s="1" t="s">
        <v>413</v>
      </c>
      <c r="B300" s="1" t="s">
        <v>146</v>
      </c>
      <c r="C300" s="1" t="s">
        <v>121</v>
      </c>
      <c r="D300" s="1" t="s">
        <v>67</v>
      </c>
      <c r="E300" s="1" t="s">
        <v>37</v>
      </c>
      <c r="F300" s="1" t="s">
        <v>31</v>
      </c>
      <c r="G300" s="1" t="s">
        <v>31</v>
      </c>
      <c r="H300" s="1" t="s">
        <v>25</v>
      </c>
      <c r="I300" s="1"/>
    </row>
    <row r="301" spans="1:9" x14ac:dyDescent="0.3">
      <c r="A301" s="1" t="s">
        <v>414</v>
      </c>
      <c r="B301" s="1" t="s">
        <v>146</v>
      </c>
      <c r="C301" s="1" t="s">
        <v>121</v>
      </c>
      <c r="D301" s="1" t="s">
        <v>122</v>
      </c>
      <c r="E301" s="1" t="s">
        <v>37</v>
      </c>
      <c r="F301" s="1" t="s">
        <v>58</v>
      </c>
      <c r="G301" s="1" t="s">
        <v>58</v>
      </c>
      <c r="H301" s="1" t="s">
        <v>25</v>
      </c>
      <c r="I301" s="1"/>
    </row>
    <row r="302" spans="1:9" x14ac:dyDescent="0.3">
      <c r="A302" s="1" t="s">
        <v>415</v>
      </c>
      <c r="B302" s="1" t="s">
        <v>140</v>
      </c>
      <c r="C302" s="1" t="s">
        <v>144</v>
      </c>
      <c r="D302" s="1" t="s">
        <v>94</v>
      </c>
      <c r="E302" s="1" t="s">
        <v>18</v>
      </c>
      <c r="F302" s="1" t="s">
        <v>48</v>
      </c>
      <c r="G302" s="1" t="s">
        <v>70</v>
      </c>
      <c r="H302" s="1" t="s">
        <v>25</v>
      </c>
      <c r="I302" s="1"/>
    </row>
    <row r="303" spans="1:9" x14ac:dyDescent="0.3">
      <c r="A303" s="1" t="s">
        <v>416</v>
      </c>
      <c r="B303" s="1" t="s">
        <v>140</v>
      </c>
      <c r="C303" s="1" t="s">
        <v>144</v>
      </c>
      <c r="D303" s="1" t="s">
        <v>94</v>
      </c>
      <c r="E303" s="1" t="s">
        <v>37</v>
      </c>
      <c r="F303" s="1" t="s">
        <v>48</v>
      </c>
      <c r="G303" s="1" t="s">
        <v>48</v>
      </c>
      <c r="H303" s="1" t="s">
        <v>25</v>
      </c>
      <c r="I303" s="1"/>
    </row>
    <row r="304" spans="1:9" x14ac:dyDescent="0.3">
      <c r="A304" s="1" t="s">
        <v>417</v>
      </c>
      <c r="B304" s="1" t="s">
        <v>146</v>
      </c>
      <c r="C304" s="1" t="s">
        <v>328</v>
      </c>
      <c r="D304" s="1" t="s">
        <v>114</v>
      </c>
      <c r="E304" s="1" t="s">
        <v>37</v>
      </c>
      <c r="F304" s="1" t="s">
        <v>32</v>
      </c>
      <c r="G304" s="1" t="s">
        <v>32</v>
      </c>
      <c r="H304" s="1" t="s">
        <v>25</v>
      </c>
      <c r="I304" s="1"/>
    </row>
    <row r="305" spans="1:9" x14ac:dyDescent="0.3">
      <c r="A305" s="1" t="s">
        <v>418</v>
      </c>
      <c r="B305" s="1" t="s">
        <v>146</v>
      </c>
      <c r="C305" s="1" t="s">
        <v>328</v>
      </c>
      <c r="D305" s="1" t="s">
        <v>109</v>
      </c>
      <c r="E305" s="1" t="s">
        <v>37</v>
      </c>
      <c r="F305" s="1" t="s">
        <v>18</v>
      </c>
      <c r="G305" s="1" t="s">
        <v>18</v>
      </c>
      <c r="H305" s="1" t="s">
        <v>25</v>
      </c>
      <c r="I305" s="1"/>
    </row>
    <row r="306" spans="1:9" x14ac:dyDescent="0.3">
      <c r="A306" s="1" t="s">
        <v>419</v>
      </c>
      <c r="B306" s="1" t="s">
        <v>140</v>
      </c>
      <c r="C306" s="1" t="s">
        <v>328</v>
      </c>
      <c r="D306" s="1" t="s">
        <v>167</v>
      </c>
      <c r="E306" s="1" t="s">
        <v>37</v>
      </c>
      <c r="F306" s="1" t="s">
        <v>18</v>
      </c>
      <c r="G306" s="1" t="s">
        <v>18</v>
      </c>
      <c r="H306" s="1" t="s">
        <v>25</v>
      </c>
      <c r="I306" s="1"/>
    </row>
    <row r="307" spans="1:9" x14ac:dyDescent="0.3">
      <c r="A307" s="1" t="s">
        <v>420</v>
      </c>
      <c r="B307" s="1" t="s">
        <v>140</v>
      </c>
      <c r="C307" s="1" t="s">
        <v>328</v>
      </c>
      <c r="D307" s="1" t="s">
        <v>40</v>
      </c>
      <c r="E307" s="1" t="s">
        <v>37</v>
      </c>
      <c r="F307" s="1" t="s">
        <v>29</v>
      </c>
      <c r="G307" s="1" t="s">
        <v>29</v>
      </c>
      <c r="H307" s="1" t="s">
        <v>25</v>
      </c>
      <c r="I307" s="1"/>
    </row>
    <row r="308" spans="1:9" x14ac:dyDescent="0.3">
      <c r="A308" s="1" t="s">
        <v>421</v>
      </c>
      <c r="B308" s="1" t="s">
        <v>153</v>
      </c>
      <c r="C308" s="1" t="s">
        <v>328</v>
      </c>
      <c r="D308" s="1" t="s">
        <v>21</v>
      </c>
      <c r="E308" s="1" t="s">
        <v>37</v>
      </c>
      <c r="F308" s="1" t="s">
        <v>77</v>
      </c>
      <c r="G308" s="1" t="s">
        <v>77</v>
      </c>
      <c r="H308" s="1" t="s">
        <v>25</v>
      </c>
      <c r="I308" s="1"/>
    </row>
    <row r="309" spans="1:9" x14ac:dyDescent="0.3">
      <c r="A309" s="1" t="s">
        <v>422</v>
      </c>
      <c r="B309" s="1" t="s">
        <v>146</v>
      </c>
      <c r="C309" s="1" t="s">
        <v>179</v>
      </c>
      <c r="D309" s="1" t="s">
        <v>114</v>
      </c>
      <c r="E309" s="1" t="s">
        <v>37</v>
      </c>
      <c r="F309" s="1" t="s">
        <v>75</v>
      </c>
      <c r="G309" s="1" t="s">
        <v>75</v>
      </c>
      <c r="H309" s="1" t="s">
        <v>25</v>
      </c>
      <c r="I309" s="1"/>
    </row>
    <row r="310" spans="1:9" x14ac:dyDescent="0.3">
      <c r="A310" s="1" t="s">
        <v>423</v>
      </c>
      <c r="B310" s="1" t="s">
        <v>137</v>
      </c>
      <c r="C310" s="1" t="s">
        <v>178</v>
      </c>
      <c r="D310" s="1" t="s">
        <v>21</v>
      </c>
      <c r="E310" s="1" t="s">
        <v>26</v>
      </c>
      <c r="F310" s="1" t="s">
        <v>276</v>
      </c>
      <c r="G310" s="1" t="s">
        <v>254</v>
      </c>
      <c r="H310" s="1" t="s">
        <v>25</v>
      </c>
      <c r="I310" s="1"/>
    </row>
    <row r="311" spans="1:9" x14ac:dyDescent="0.3">
      <c r="A311" s="1" t="s">
        <v>424</v>
      </c>
      <c r="B311" s="1" t="s">
        <v>172</v>
      </c>
      <c r="C311" s="1" t="s">
        <v>173</v>
      </c>
      <c r="D311" s="1" t="s">
        <v>109</v>
      </c>
      <c r="E311" s="1" t="s">
        <v>37</v>
      </c>
      <c r="F311" s="1" t="s">
        <v>234</v>
      </c>
      <c r="G311" s="1" t="s">
        <v>234</v>
      </c>
      <c r="H311" s="1" t="s">
        <v>25</v>
      </c>
      <c r="I311" s="1"/>
    </row>
    <row r="312" spans="1:9" x14ac:dyDescent="0.3">
      <c r="A312" s="1" t="s">
        <v>425</v>
      </c>
      <c r="B312" s="1" t="s">
        <v>153</v>
      </c>
      <c r="C312" s="1" t="s">
        <v>175</v>
      </c>
      <c r="D312" s="1" t="s">
        <v>94</v>
      </c>
      <c r="E312" s="1" t="s">
        <v>34</v>
      </c>
      <c r="F312" s="1" t="s">
        <v>31</v>
      </c>
      <c r="G312" s="1" t="s">
        <v>126</v>
      </c>
      <c r="H312" s="1" t="s">
        <v>25</v>
      </c>
      <c r="I312" s="1"/>
    </row>
    <row r="313" spans="1:9" x14ac:dyDescent="0.3">
      <c r="A313" s="1" t="s">
        <v>426</v>
      </c>
      <c r="B313" s="1" t="s">
        <v>137</v>
      </c>
      <c r="C313" s="1" t="s">
        <v>188</v>
      </c>
      <c r="D313" s="1" t="s">
        <v>56</v>
      </c>
      <c r="E313" s="1" t="s">
        <v>38</v>
      </c>
      <c r="F313" s="1" t="s">
        <v>68</v>
      </c>
      <c r="G313" s="1" t="s">
        <v>105</v>
      </c>
      <c r="H313" s="1" t="s">
        <v>25</v>
      </c>
      <c r="I313" s="1"/>
    </row>
    <row r="314" spans="1:9" x14ac:dyDescent="0.3">
      <c r="A314" s="1" t="s">
        <v>427</v>
      </c>
      <c r="B314" s="1" t="s">
        <v>135</v>
      </c>
      <c r="C314" s="1" t="s">
        <v>131</v>
      </c>
      <c r="D314" s="1" t="s">
        <v>51</v>
      </c>
      <c r="E314" s="1" t="s">
        <v>26</v>
      </c>
      <c r="F314" s="1" t="s">
        <v>113</v>
      </c>
      <c r="G314" s="1" t="s">
        <v>156</v>
      </c>
      <c r="H314" s="1" t="s">
        <v>25</v>
      </c>
      <c r="I314" s="1"/>
    </row>
    <row r="315" spans="1:9" x14ac:dyDescent="0.3">
      <c r="A315" s="1" t="s">
        <v>428</v>
      </c>
      <c r="B315" s="1" t="s">
        <v>135</v>
      </c>
      <c r="C315" s="1" t="s">
        <v>212</v>
      </c>
      <c r="D315" s="1" t="s">
        <v>141</v>
      </c>
      <c r="E315" s="1" t="s">
        <v>34</v>
      </c>
      <c r="F315" s="1" t="s">
        <v>108</v>
      </c>
      <c r="G315" s="1" t="s">
        <v>161</v>
      </c>
      <c r="H315" s="1" t="s">
        <v>25</v>
      </c>
      <c r="I315" s="1"/>
    </row>
    <row r="316" spans="1:9" x14ac:dyDescent="0.3">
      <c r="A316" s="1" t="s">
        <v>429</v>
      </c>
      <c r="B316" s="1" t="s">
        <v>132</v>
      </c>
      <c r="C316" s="1" t="s">
        <v>405</v>
      </c>
      <c r="D316" s="1" t="s">
        <v>56</v>
      </c>
      <c r="E316" s="1" t="s">
        <v>32</v>
      </c>
      <c r="F316" s="1" t="s">
        <v>113</v>
      </c>
      <c r="G316" s="1" t="s">
        <v>110</v>
      </c>
      <c r="H316" s="1" t="s">
        <v>25</v>
      </c>
      <c r="I316" s="1"/>
    </row>
    <row r="317" spans="1:9" x14ac:dyDescent="0.3">
      <c r="A317" s="1" t="s">
        <v>430</v>
      </c>
      <c r="B317" s="1" t="s">
        <v>158</v>
      </c>
      <c r="C317" s="1" t="s">
        <v>223</v>
      </c>
      <c r="D317" s="1" t="s">
        <v>114</v>
      </c>
      <c r="E317" s="1" t="s">
        <v>43</v>
      </c>
      <c r="F317" s="1" t="s">
        <v>113</v>
      </c>
      <c r="G317" s="1" t="s">
        <v>171</v>
      </c>
      <c r="H317" s="1" t="s">
        <v>25</v>
      </c>
      <c r="I317" s="1"/>
    </row>
    <row r="318" spans="1:9" x14ac:dyDescent="0.3">
      <c r="A318" s="1" t="s">
        <v>431</v>
      </c>
      <c r="B318" s="1" t="s">
        <v>158</v>
      </c>
      <c r="C318" s="1" t="s">
        <v>405</v>
      </c>
      <c r="D318" s="1" t="s">
        <v>167</v>
      </c>
      <c r="E318" s="1" t="s">
        <v>22</v>
      </c>
      <c r="F318" s="1" t="s">
        <v>200</v>
      </c>
      <c r="G318" s="1" t="s">
        <v>204</v>
      </c>
      <c r="H318" s="1" t="s">
        <v>25</v>
      </c>
      <c r="I318" s="1"/>
    </row>
    <row r="319" spans="1:9" x14ac:dyDescent="0.3">
      <c r="A319" s="1" t="s">
        <v>432</v>
      </c>
      <c r="B319" s="1" t="s">
        <v>130</v>
      </c>
      <c r="C319" s="1" t="s">
        <v>405</v>
      </c>
      <c r="D319" s="1" t="s">
        <v>114</v>
      </c>
      <c r="E319" s="1" t="s">
        <v>34</v>
      </c>
      <c r="F319" s="1" t="s">
        <v>273</v>
      </c>
      <c r="G319" s="1" t="s">
        <v>277</v>
      </c>
      <c r="H319" s="1" t="s">
        <v>25</v>
      </c>
      <c r="I319" s="1"/>
    </row>
    <row r="320" spans="1:9" x14ac:dyDescent="0.3">
      <c r="A320" s="1" t="s">
        <v>433</v>
      </c>
      <c r="B320" s="1" t="s">
        <v>39</v>
      </c>
      <c r="C320" s="1" t="s">
        <v>133</v>
      </c>
      <c r="D320" s="1" t="s">
        <v>21</v>
      </c>
      <c r="E320" s="1" t="s">
        <v>32</v>
      </c>
      <c r="F320" s="1" t="s">
        <v>255</v>
      </c>
      <c r="G320" s="1" t="s">
        <v>260</v>
      </c>
      <c r="H320" s="1" t="s">
        <v>25</v>
      </c>
      <c r="I320" s="1"/>
    </row>
    <row r="321" spans="1:9" x14ac:dyDescent="0.3">
      <c r="A321" s="1" t="s">
        <v>434</v>
      </c>
      <c r="B321" s="1" t="s">
        <v>135</v>
      </c>
      <c r="C321" s="1" t="s">
        <v>176</v>
      </c>
      <c r="D321" s="1" t="s">
        <v>40</v>
      </c>
      <c r="E321" s="1" t="s">
        <v>22</v>
      </c>
      <c r="F321" s="1" t="s">
        <v>203</v>
      </c>
      <c r="G321" s="1" t="s">
        <v>180</v>
      </c>
      <c r="H321" s="1" t="s">
        <v>25</v>
      </c>
      <c r="I321" s="1"/>
    </row>
    <row r="322" spans="1:9" x14ac:dyDescent="0.3">
      <c r="A322" s="1" t="s">
        <v>435</v>
      </c>
      <c r="B322" s="1" t="s">
        <v>158</v>
      </c>
      <c r="C322" s="1" t="s">
        <v>176</v>
      </c>
      <c r="D322" s="1" t="s">
        <v>21</v>
      </c>
      <c r="E322" s="1" t="s">
        <v>37</v>
      </c>
      <c r="F322" s="1" t="s">
        <v>171</v>
      </c>
      <c r="G322" s="1" t="s">
        <v>171</v>
      </c>
      <c r="H322" s="1" t="s">
        <v>25</v>
      </c>
      <c r="I322" s="1"/>
    </row>
    <row r="323" spans="1:9" x14ac:dyDescent="0.3">
      <c r="A323" s="1" t="s">
        <v>436</v>
      </c>
      <c r="B323" s="1" t="s">
        <v>130</v>
      </c>
      <c r="C323" s="1" t="s">
        <v>173</v>
      </c>
      <c r="D323" s="1" t="s">
        <v>21</v>
      </c>
      <c r="E323" s="1" t="s">
        <v>34</v>
      </c>
      <c r="F323" s="1" t="s">
        <v>134</v>
      </c>
      <c r="G323" s="1" t="s">
        <v>80</v>
      </c>
      <c r="H323" s="1" t="s">
        <v>25</v>
      </c>
      <c r="I323" s="1"/>
    </row>
    <row r="324" spans="1:9" x14ac:dyDescent="0.3">
      <c r="A324" s="1" t="s">
        <v>437</v>
      </c>
      <c r="B324" s="1" t="s">
        <v>130</v>
      </c>
      <c r="C324" s="1" t="s">
        <v>173</v>
      </c>
      <c r="D324" s="1" t="s">
        <v>21</v>
      </c>
      <c r="E324" s="1" t="s">
        <v>26</v>
      </c>
      <c r="F324" s="1" t="s">
        <v>95</v>
      </c>
      <c r="G324" s="1" t="s">
        <v>54</v>
      </c>
      <c r="H324" s="1" t="s">
        <v>25</v>
      </c>
      <c r="I324" s="1"/>
    </row>
    <row r="325" spans="1:9" x14ac:dyDescent="0.3">
      <c r="A325" s="1" t="s">
        <v>438</v>
      </c>
      <c r="B325" s="1" t="s">
        <v>158</v>
      </c>
      <c r="C325" s="1" t="s">
        <v>175</v>
      </c>
      <c r="D325" s="1" t="s">
        <v>21</v>
      </c>
      <c r="E325" s="1" t="s">
        <v>18</v>
      </c>
      <c r="F325" s="1" t="s">
        <v>57</v>
      </c>
      <c r="G325" s="1" t="s">
        <v>33</v>
      </c>
      <c r="H325" s="1" t="s">
        <v>25</v>
      </c>
      <c r="I325" s="1"/>
    </row>
    <row r="326" spans="1:9" x14ac:dyDescent="0.3">
      <c r="A326" s="1" t="s">
        <v>439</v>
      </c>
      <c r="B326" s="1" t="s">
        <v>158</v>
      </c>
      <c r="C326" s="1" t="s">
        <v>175</v>
      </c>
      <c r="D326" s="1" t="s">
        <v>21</v>
      </c>
      <c r="E326" s="1" t="s">
        <v>22</v>
      </c>
      <c r="F326" s="1" t="s">
        <v>92</v>
      </c>
      <c r="G326" s="1" t="s">
        <v>99</v>
      </c>
      <c r="H326" s="1" t="s">
        <v>25</v>
      </c>
      <c r="I326" s="1"/>
    </row>
    <row r="327" spans="1:9" x14ac:dyDescent="0.3">
      <c r="A327" s="1" t="s">
        <v>440</v>
      </c>
      <c r="B327" s="1" t="s">
        <v>135</v>
      </c>
      <c r="C327" s="1" t="s">
        <v>176</v>
      </c>
      <c r="D327" s="1" t="s">
        <v>40</v>
      </c>
      <c r="E327" s="1" t="s">
        <v>26</v>
      </c>
      <c r="F327" s="1" t="s">
        <v>82</v>
      </c>
      <c r="G327" s="1" t="s">
        <v>86</v>
      </c>
      <c r="H327" s="1" t="s">
        <v>25</v>
      </c>
      <c r="I327" s="1"/>
    </row>
    <row r="328" spans="1:9" x14ac:dyDescent="0.3">
      <c r="A328" s="1" t="s">
        <v>441</v>
      </c>
      <c r="B328" s="1" t="s">
        <v>135</v>
      </c>
      <c r="C328" s="1" t="s">
        <v>176</v>
      </c>
      <c r="D328" s="1" t="s">
        <v>40</v>
      </c>
      <c r="E328" s="1" t="s">
        <v>37</v>
      </c>
      <c r="F328" s="1" t="s">
        <v>52</v>
      </c>
      <c r="G328" s="1" t="s">
        <v>52</v>
      </c>
      <c r="H328" s="1" t="s">
        <v>25</v>
      </c>
      <c r="I328" s="1"/>
    </row>
    <row r="329" spans="1:9" x14ac:dyDescent="0.3">
      <c r="A329" s="1" t="s">
        <v>442</v>
      </c>
      <c r="B329" s="1" t="s">
        <v>130</v>
      </c>
      <c r="C329" s="1" t="s">
        <v>176</v>
      </c>
      <c r="D329" s="1" t="s">
        <v>21</v>
      </c>
      <c r="E329" s="1" t="s">
        <v>18</v>
      </c>
      <c r="F329" s="1" t="s">
        <v>41</v>
      </c>
      <c r="G329" s="1" t="s">
        <v>29</v>
      </c>
      <c r="H329" s="1" t="s">
        <v>25</v>
      </c>
      <c r="I329" s="1"/>
    </row>
    <row r="330" spans="1:9" x14ac:dyDescent="0.3">
      <c r="A330" s="1" t="s">
        <v>443</v>
      </c>
      <c r="B330" s="1" t="s">
        <v>130</v>
      </c>
      <c r="C330" s="1" t="s">
        <v>176</v>
      </c>
      <c r="D330" s="1" t="s">
        <v>21</v>
      </c>
      <c r="E330" s="1" t="s">
        <v>37</v>
      </c>
      <c r="F330" s="1" t="s">
        <v>32</v>
      </c>
      <c r="G330" s="1" t="s">
        <v>32</v>
      </c>
      <c r="H330" s="1" t="s">
        <v>25</v>
      </c>
      <c r="I330" s="1"/>
    </row>
    <row r="331" spans="1:9" x14ac:dyDescent="0.3">
      <c r="A331" s="1" t="s">
        <v>444</v>
      </c>
      <c r="B331" s="1" t="s">
        <v>130</v>
      </c>
      <c r="C331" s="1" t="s">
        <v>176</v>
      </c>
      <c r="D331" s="1" t="s">
        <v>21</v>
      </c>
      <c r="E331" s="1" t="s">
        <v>37</v>
      </c>
      <c r="F331" s="1" t="s">
        <v>18</v>
      </c>
      <c r="G331" s="1" t="s">
        <v>18</v>
      </c>
      <c r="H331" s="1" t="s">
        <v>25</v>
      </c>
      <c r="I331" s="1"/>
    </row>
    <row r="332" spans="1:9" x14ac:dyDescent="0.3">
      <c r="A332" s="1" t="s">
        <v>445</v>
      </c>
      <c r="B332" s="1" t="s">
        <v>137</v>
      </c>
      <c r="C332" s="1" t="s">
        <v>177</v>
      </c>
      <c r="D332" s="1" t="s">
        <v>167</v>
      </c>
      <c r="E332" s="1" t="s">
        <v>18</v>
      </c>
      <c r="F332" s="1" t="s">
        <v>26</v>
      </c>
      <c r="G332" s="1" t="s">
        <v>22</v>
      </c>
      <c r="H332" s="1" t="s">
        <v>25</v>
      </c>
      <c r="I332" s="1"/>
    </row>
    <row r="333" spans="1:9" x14ac:dyDescent="0.3">
      <c r="A333" s="1" t="s">
        <v>446</v>
      </c>
      <c r="B333" s="1" t="s">
        <v>132</v>
      </c>
      <c r="C333" s="1" t="s">
        <v>177</v>
      </c>
      <c r="D333" s="1" t="s">
        <v>21</v>
      </c>
      <c r="E333" s="1" t="s">
        <v>18</v>
      </c>
      <c r="F333" s="1" t="s">
        <v>43</v>
      </c>
      <c r="G333" s="1" t="s">
        <v>36</v>
      </c>
      <c r="H333" s="1" t="s">
        <v>25</v>
      </c>
      <c r="I333" s="1"/>
    </row>
    <row r="334" spans="1:9" x14ac:dyDescent="0.3">
      <c r="A334" s="1" t="s">
        <v>447</v>
      </c>
      <c r="B334" s="1" t="s">
        <v>172</v>
      </c>
      <c r="C334" s="1" t="s">
        <v>177</v>
      </c>
      <c r="D334" s="1" t="s">
        <v>109</v>
      </c>
      <c r="E334" s="1" t="s">
        <v>18</v>
      </c>
      <c r="F334" s="1" t="s">
        <v>93</v>
      </c>
      <c r="G334" s="1" t="s">
        <v>96</v>
      </c>
      <c r="H334" s="1" t="s">
        <v>25</v>
      </c>
      <c r="I334" s="1"/>
    </row>
    <row r="335" spans="1:9" x14ac:dyDescent="0.3">
      <c r="A335" s="1" t="s">
        <v>448</v>
      </c>
      <c r="B335" s="1" t="s">
        <v>153</v>
      </c>
      <c r="C335" s="1" t="s">
        <v>170</v>
      </c>
      <c r="D335" s="1" t="s">
        <v>109</v>
      </c>
      <c r="E335" s="1" t="s">
        <v>26</v>
      </c>
      <c r="F335" s="1" t="s">
        <v>87</v>
      </c>
      <c r="G335" s="1" t="s">
        <v>103</v>
      </c>
      <c r="H335" s="1" t="s">
        <v>25</v>
      </c>
      <c r="I335" s="1"/>
    </row>
    <row r="336" spans="1:9" x14ac:dyDescent="0.3">
      <c r="A336" s="1" t="s">
        <v>449</v>
      </c>
      <c r="B336" s="1" t="s">
        <v>135</v>
      </c>
      <c r="C336" s="1" t="s">
        <v>176</v>
      </c>
      <c r="D336" s="1" t="s">
        <v>114</v>
      </c>
      <c r="E336" s="1" t="s">
        <v>26</v>
      </c>
      <c r="F336" s="1" t="s">
        <v>152</v>
      </c>
      <c r="G336" s="1" t="s">
        <v>113</v>
      </c>
      <c r="H336" s="1" t="s">
        <v>25</v>
      </c>
      <c r="I336" s="1"/>
    </row>
    <row r="337" spans="1:9" x14ac:dyDescent="0.3">
      <c r="A337" s="1" t="s">
        <v>450</v>
      </c>
      <c r="B337" s="1" t="s">
        <v>135</v>
      </c>
      <c r="C337" s="1" t="s">
        <v>175</v>
      </c>
      <c r="D337" s="1" t="s">
        <v>98</v>
      </c>
      <c r="E337" s="1" t="s">
        <v>82</v>
      </c>
      <c r="F337" s="1" t="s">
        <v>106</v>
      </c>
      <c r="G337" s="1" t="s">
        <v>162</v>
      </c>
      <c r="H337" s="1" t="s">
        <v>25</v>
      </c>
      <c r="I337" s="1"/>
    </row>
    <row r="338" spans="1:9" x14ac:dyDescent="0.3">
      <c r="A338" s="1" t="s">
        <v>451</v>
      </c>
      <c r="B338" s="1" t="s">
        <v>130</v>
      </c>
      <c r="C338" s="1" t="s">
        <v>197</v>
      </c>
      <c r="D338" s="1" t="s">
        <v>98</v>
      </c>
      <c r="E338" s="1" t="s">
        <v>70</v>
      </c>
      <c r="F338" s="1" t="s">
        <v>115</v>
      </c>
      <c r="G338" s="1" t="s">
        <v>203</v>
      </c>
      <c r="H338" s="1" t="s">
        <v>25</v>
      </c>
      <c r="I338" s="1"/>
    </row>
    <row r="339" spans="1:9" x14ac:dyDescent="0.3">
      <c r="A339" s="1" t="s">
        <v>452</v>
      </c>
      <c r="B339" s="1" t="s">
        <v>39</v>
      </c>
      <c r="C339" s="1" t="s">
        <v>223</v>
      </c>
      <c r="D339" s="1" t="s">
        <v>67</v>
      </c>
      <c r="E339" s="1" t="s">
        <v>89</v>
      </c>
      <c r="F339" s="1" t="s">
        <v>187</v>
      </c>
      <c r="G339" s="1" t="s">
        <v>211</v>
      </c>
      <c r="H339" s="1" t="s">
        <v>25</v>
      </c>
      <c r="I339" s="1"/>
    </row>
    <row r="340" spans="1:9" x14ac:dyDescent="0.3">
      <c r="A340" s="1" t="s">
        <v>453</v>
      </c>
      <c r="B340" s="1" t="s">
        <v>19</v>
      </c>
      <c r="C340" s="1" t="s">
        <v>127</v>
      </c>
      <c r="D340" s="1" t="s">
        <v>56</v>
      </c>
      <c r="E340" s="1" t="s">
        <v>57</v>
      </c>
      <c r="F340" s="1" t="s">
        <v>180</v>
      </c>
      <c r="G340" s="1" t="s">
        <v>235</v>
      </c>
      <c r="H340" s="1" t="s">
        <v>25</v>
      </c>
      <c r="I340" s="1"/>
    </row>
    <row r="341" spans="1:9" x14ac:dyDescent="0.3">
      <c r="A341" s="1" t="s">
        <v>454</v>
      </c>
      <c r="B341" s="1" t="s">
        <v>222</v>
      </c>
      <c r="C341" s="1" t="s">
        <v>248</v>
      </c>
      <c r="D341" s="1" t="s">
        <v>94</v>
      </c>
      <c r="E341" s="1" t="s">
        <v>89</v>
      </c>
      <c r="F341" s="1" t="s">
        <v>221</v>
      </c>
      <c r="G341" s="1" t="s">
        <v>247</v>
      </c>
      <c r="H341" s="1" t="s">
        <v>25</v>
      </c>
      <c r="I341" s="1"/>
    </row>
    <row r="342" spans="1:9" x14ac:dyDescent="0.3">
      <c r="A342" s="1" t="s">
        <v>455</v>
      </c>
      <c r="B342" s="1" t="s">
        <v>55</v>
      </c>
      <c r="C342" s="1" t="s">
        <v>315</v>
      </c>
      <c r="D342" s="1" t="s">
        <v>94</v>
      </c>
      <c r="E342" s="1" t="s">
        <v>103</v>
      </c>
      <c r="F342" s="1" t="s">
        <v>206</v>
      </c>
      <c r="G342" s="1" t="s">
        <v>246</v>
      </c>
      <c r="H342" s="1" t="s">
        <v>25</v>
      </c>
      <c r="I342" s="1"/>
    </row>
    <row r="343" spans="1:9" x14ac:dyDescent="0.3">
      <c r="A343" s="1" t="s">
        <v>456</v>
      </c>
      <c r="B343" s="1" t="s">
        <v>44</v>
      </c>
      <c r="C343" s="1" t="s">
        <v>248</v>
      </c>
      <c r="D343" s="1" t="s">
        <v>56</v>
      </c>
      <c r="E343" s="1" t="s">
        <v>62</v>
      </c>
      <c r="F343" s="1" t="s">
        <v>106</v>
      </c>
      <c r="G343" s="1" t="s">
        <v>192</v>
      </c>
      <c r="H343" s="1" t="s">
        <v>25</v>
      </c>
      <c r="I343" s="1"/>
    </row>
    <row r="344" spans="1:9" x14ac:dyDescent="0.3">
      <c r="A344" s="1" t="s">
        <v>457</v>
      </c>
      <c r="B344" s="1" t="s">
        <v>19</v>
      </c>
      <c r="C344" s="1" t="s">
        <v>458</v>
      </c>
      <c r="D344" s="1" t="s">
        <v>51</v>
      </c>
      <c r="E344" s="1" t="s">
        <v>70</v>
      </c>
      <c r="F344" s="1" t="s">
        <v>174</v>
      </c>
      <c r="G344" s="1" t="s">
        <v>64</v>
      </c>
      <c r="H344" s="1" t="s">
        <v>25</v>
      </c>
      <c r="I344" s="1"/>
    </row>
    <row r="345" spans="1:9" x14ac:dyDescent="0.3">
      <c r="A345" s="1" t="s">
        <v>459</v>
      </c>
      <c r="B345" s="1" t="s">
        <v>44</v>
      </c>
      <c r="C345" s="1" t="s">
        <v>127</v>
      </c>
      <c r="D345" s="1" t="s">
        <v>51</v>
      </c>
      <c r="E345" s="1" t="s">
        <v>48</v>
      </c>
      <c r="F345" s="1" t="s">
        <v>157</v>
      </c>
      <c r="G345" s="1" t="s">
        <v>115</v>
      </c>
      <c r="H345" s="1" t="s">
        <v>25</v>
      </c>
      <c r="I345" s="1"/>
    </row>
    <row r="346" spans="1:9" x14ac:dyDescent="0.3">
      <c r="A346" s="1" t="s">
        <v>460</v>
      </c>
      <c r="B346" s="1" t="s">
        <v>44</v>
      </c>
      <c r="C346" s="1" t="s">
        <v>127</v>
      </c>
      <c r="D346" s="1" t="s">
        <v>51</v>
      </c>
      <c r="E346" s="1" t="s">
        <v>38</v>
      </c>
      <c r="F346" s="1" t="s">
        <v>71</v>
      </c>
      <c r="G346" s="1" t="s">
        <v>79</v>
      </c>
      <c r="H346" s="1" t="s">
        <v>25</v>
      </c>
      <c r="I346" s="1"/>
    </row>
    <row r="347" spans="1:9" x14ac:dyDescent="0.3">
      <c r="A347" s="1" t="s">
        <v>461</v>
      </c>
      <c r="B347" s="1" t="s">
        <v>44</v>
      </c>
      <c r="C347" s="1" t="s">
        <v>127</v>
      </c>
      <c r="D347" s="1" t="s">
        <v>98</v>
      </c>
      <c r="E347" s="1" t="s">
        <v>38</v>
      </c>
      <c r="F347" s="1" t="s">
        <v>142</v>
      </c>
      <c r="G347" s="1" t="s">
        <v>152</v>
      </c>
      <c r="H347" s="1" t="s">
        <v>25</v>
      </c>
      <c r="I347" s="1"/>
    </row>
    <row r="348" spans="1:9" x14ac:dyDescent="0.3">
      <c r="A348" s="1" t="s">
        <v>462</v>
      </c>
      <c r="B348" s="1" t="s">
        <v>222</v>
      </c>
      <c r="C348" s="1" t="s">
        <v>124</v>
      </c>
      <c r="D348" s="1" t="s">
        <v>167</v>
      </c>
      <c r="E348" s="1" t="s">
        <v>37</v>
      </c>
      <c r="F348" s="1" t="s">
        <v>57</v>
      </c>
      <c r="G348" s="1" t="s">
        <v>57</v>
      </c>
      <c r="H348" s="1" t="s">
        <v>25</v>
      </c>
      <c r="I348" s="1"/>
    </row>
    <row r="349" spans="1:9" x14ac:dyDescent="0.3">
      <c r="A349" s="1" t="s">
        <v>463</v>
      </c>
      <c r="B349" s="1" t="s">
        <v>19</v>
      </c>
      <c r="C349" s="1" t="s">
        <v>458</v>
      </c>
      <c r="D349" s="1" t="s">
        <v>56</v>
      </c>
      <c r="E349" s="1" t="s">
        <v>32</v>
      </c>
      <c r="F349" s="1" t="s">
        <v>100</v>
      </c>
      <c r="G349" s="1" t="s">
        <v>126</v>
      </c>
      <c r="H349" s="1" t="s">
        <v>25</v>
      </c>
      <c r="I349" s="1"/>
    </row>
    <row r="350" spans="1:9" x14ac:dyDescent="0.3">
      <c r="A350" s="1" t="s">
        <v>464</v>
      </c>
      <c r="B350" s="1" t="s">
        <v>44</v>
      </c>
      <c r="C350" s="1" t="s">
        <v>190</v>
      </c>
      <c r="D350" s="1" t="s">
        <v>21</v>
      </c>
      <c r="E350" s="1" t="s">
        <v>38</v>
      </c>
      <c r="F350" s="1" t="s">
        <v>103</v>
      </c>
      <c r="G350" s="1" t="s">
        <v>100</v>
      </c>
      <c r="H350" s="1" t="s">
        <v>25</v>
      </c>
      <c r="I350" s="1"/>
    </row>
    <row r="351" spans="1:9" x14ac:dyDescent="0.3">
      <c r="A351" s="1" t="s">
        <v>465</v>
      </c>
      <c r="B351" s="1" t="s">
        <v>27</v>
      </c>
      <c r="C351" s="1" t="s">
        <v>190</v>
      </c>
      <c r="D351" s="1" t="s">
        <v>109</v>
      </c>
      <c r="E351" s="1" t="s">
        <v>34</v>
      </c>
      <c r="F351" s="1" t="s">
        <v>84</v>
      </c>
      <c r="G351" s="1" t="s">
        <v>96</v>
      </c>
      <c r="H351" s="1" t="s">
        <v>25</v>
      </c>
      <c r="I351" s="1"/>
    </row>
    <row r="352" spans="1:9" x14ac:dyDescent="0.3">
      <c r="A352" s="1" t="s">
        <v>466</v>
      </c>
      <c r="B352" s="1" t="s">
        <v>19</v>
      </c>
      <c r="C352" s="1" t="s">
        <v>190</v>
      </c>
      <c r="D352" s="1" t="s">
        <v>40</v>
      </c>
      <c r="E352" s="1" t="s">
        <v>22</v>
      </c>
      <c r="F352" s="1" t="s">
        <v>23</v>
      </c>
      <c r="G352" s="1" t="s">
        <v>24</v>
      </c>
      <c r="H352" s="1" t="s">
        <v>25</v>
      </c>
      <c r="I352" s="1"/>
    </row>
    <row r="353" spans="1:9" x14ac:dyDescent="0.3">
      <c r="A353" s="1" t="s">
        <v>467</v>
      </c>
      <c r="B353" s="1" t="s">
        <v>27</v>
      </c>
      <c r="C353" s="1" t="s">
        <v>173</v>
      </c>
      <c r="D353" s="1" t="s">
        <v>21</v>
      </c>
      <c r="E353" s="1" t="s">
        <v>43</v>
      </c>
      <c r="F353" s="1" t="s">
        <v>38</v>
      </c>
      <c r="G353" s="1" t="s">
        <v>70</v>
      </c>
      <c r="H353" s="1" t="s">
        <v>25</v>
      </c>
      <c r="I353" s="1"/>
    </row>
    <row r="354" spans="1:9" x14ac:dyDescent="0.3">
      <c r="A354" s="1" t="s">
        <v>468</v>
      </c>
      <c r="B354" s="1" t="s">
        <v>39</v>
      </c>
      <c r="C354" s="1" t="s">
        <v>190</v>
      </c>
      <c r="D354" s="1" t="s">
        <v>114</v>
      </c>
      <c r="E354" s="1" t="s">
        <v>37</v>
      </c>
      <c r="F354" s="1" t="s">
        <v>18</v>
      </c>
      <c r="G354" s="1" t="s">
        <v>18</v>
      </c>
      <c r="H354" s="1" t="s">
        <v>25</v>
      </c>
      <c r="I354" s="1"/>
    </row>
    <row r="355" spans="1:9" x14ac:dyDescent="0.3">
      <c r="A355" s="1" t="s">
        <v>469</v>
      </c>
      <c r="B355" s="1" t="s">
        <v>39</v>
      </c>
      <c r="C355" s="1" t="s">
        <v>190</v>
      </c>
      <c r="D355" s="1" t="s">
        <v>114</v>
      </c>
      <c r="E355" s="1" t="s">
        <v>18</v>
      </c>
      <c r="F355" s="1" t="s">
        <v>18</v>
      </c>
      <c r="G355" s="1" t="s">
        <v>26</v>
      </c>
      <c r="H355" s="1" t="s">
        <v>25</v>
      </c>
      <c r="I355" s="1"/>
    </row>
    <row r="356" spans="1:9" x14ac:dyDescent="0.3">
      <c r="A356" s="1" t="s">
        <v>470</v>
      </c>
      <c r="B356" s="1" t="s">
        <v>39</v>
      </c>
      <c r="C356" s="1" t="s">
        <v>190</v>
      </c>
      <c r="D356" s="1" t="s">
        <v>114</v>
      </c>
      <c r="E356" s="1" t="s">
        <v>37</v>
      </c>
      <c r="F356" s="1" t="s">
        <v>18</v>
      </c>
      <c r="G356" s="1" t="s">
        <v>18</v>
      </c>
      <c r="H356" s="1" t="s">
        <v>25</v>
      </c>
      <c r="I356" s="1"/>
    </row>
    <row r="357" spans="1:9" x14ac:dyDescent="0.3">
      <c r="A357" s="1" t="s">
        <v>471</v>
      </c>
      <c r="B357" s="1" t="s">
        <v>132</v>
      </c>
      <c r="C357" s="1" t="s">
        <v>190</v>
      </c>
      <c r="D357" s="1" t="s">
        <v>67</v>
      </c>
      <c r="E357" s="1" t="s">
        <v>37</v>
      </c>
      <c r="F357" s="1" t="s">
        <v>22</v>
      </c>
      <c r="G357" s="1" t="s">
        <v>22</v>
      </c>
      <c r="H357" s="1" t="s">
        <v>25</v>
      </c>
      <c r="I357" s="1"/>
    </row>
    <row r="358" spans="1:9" x14ac:dyDescent="0.3">
      <c r="A358" s="1" t="s">
        <v>472</v>
      </c>
      <c r="B358" s="1" t="s">
        <v>132</v>
      </c>
      <c r="C358" s="1" t="s">
        <v>175</v>
      </c>
      <c r="D358" s="1" t="s">
        <v>56</v>
      </c>
      <c r="E358" s="1" t="s">
        <v>37</v>
      </c>
      <c r="F358" s="1" t="s">
        <v>82</v>
      </c>
      <c r="G358" s="1" t="s">
        <v>82</v>
      </c>
      <c r="H358" s="1" t="s">
        <v>25</v>
      </c>
      <c r="I358" s="1"/>
    </row>
    <row r="359" spans="1:9" x14ac:dyDescent="0.3">
      <c r="A359" s="1" t="s">
        <v>473</v>
      </c>
      <c r="B359" s="1" t="s">
        <v>132</v>
      </c>
      <c r="C359" s="1" t="s">
        <v>188</v>
      </c>
      <c r="D359" s="1" t="s">
        <v>51</v>
      </c>
      <c r="E359" s="1" t="s">
        <v>22</v>
      </c>
      <c r="F359" s="1" t="s">
        <v>62</v>
      </c>
      <c r="G359" s="1" t="s">
        <v>30</v>
      </c>
      <c r="H359" s="1" t="s">
        <v>25</v>
      </c>
      <c r="I359" s="1"/>
    </row>
    <row r="360" spans="1:9" x14ac:dyDescent="0.3">
      <c r="A360" s="1" t="s">
        <v>474</v>
      </c>
      <c r="B360" s="1" t="s">
        <v>132</v>
      </c>
      <c r="C360" s="1" t="s">
        <v>188</v>
      </c>
      <c r="D360" s="1" t="s">
        <v>56</v>
      </c>
      <c r="E360" s="1" t="s">
        <v>29</v>
      </c>
      <c r="F360" s="1" t="s">
        <v>72</v>
      </c>
      <c r="G360" s="1" t="s">
        <v>186</v>
      </c>
      <c r="H360" s="1" t="s">
        <v>25</v>
      </c>
      <c r="I360" s="1"/>
    </row>
    <row r="361" spans="1:9" x14ac:dyDescent="0.3">
      <c r="A361" s="1" t="s">
        <v>475</v>
      </c>
      <c r="B361" s="1" t="s">
        <v>130</v>
      </c>
      <c r="C361" s="1" t="s">
        <v>131</v>
      </c>
      <c r="D361" s="1" t="s">
        <v>51</v>
      </c>
      <c r="E361" s="1" t="s">
        <v>96</v>
      </c>
      <c r="F361" s="1" t="s">
        <v>75</v>
      </c>
      <c r="G361" s="1" t="s">
        <v>81</v>
      </c>
      <c r="H361" s="1" t="s">
        <v>25</v>
      </c>
      <c r="I361" s="1"/>
    </row>
    <row r="362" spans="1:9" x14ac:dyDescent="0.3">
      <c r="A362" s="1" t="s">
        <v>476</v>
      </c>
      <c r="B362" s="1" t="s">
        <v>132</v>
      </c>
      <c r="C362" s="1" t="s">
        <v>405</v>
      </c>
      <c r="D362" s="1" t="s">
        <v>56</v>
      </c>
      <c r="E362" s="1" t="s">
        <v>62</v>
      </c>
      <c r="F362" s="1" t="s">
        <v>111</v>
      </c>
      <c r="G362" s="1" t="s">
        <v>217</v>
      </c>
      <c r="H362" s="1" t="s">
        <v>25</v>
      </c>
      <c r="I362" s="1"/>
    </row>
    <row r="363" spans="1:9" x14ac:dyDescent="0.3">
      <c r="A363" s="1" t="s">
        <v>477</v>
      </c>
      <c r="B363" s="1" t="s">
        <v>130</v>
      </c>
      <c r="C363" s="1" t="s">
        <v>155</v>
      </c>
      <c r="D363" s="1" t="s">
        <v>67</v>
      </c>
      <c r="E363" s="1" t="s">
        <v>96</v>
      </c>
      <c r="F363" s="1" t="s">
        <v>206</v>
      </c>
      <c r="G363" s="1" t="s">
        <v>235</v>
      </c>
      <c r="H363" s="1" t="s">
        <v>25</v>
      </c>
      <c r="I363" s="1"/>
    </row>
    <row r="364" spans="1:9" x14ac:dyDescent="0.3">
      <c r="A364" s="1" t="s">
        <v>478</v>
      </c>
      <c r="B364" s="1" t="s">
        <v>27</v>
      </c>
      <c r="C364" s="1" t="s">
        <v>248</v>
      </c>
      <c r="D364" s="1" t="s">
        <v>51</v>
      </c>
      <c r="E364" s="1" t="s">
        <v>93</v>
      </c>
      <c r="F364" s="1" t="s">
        <v>174</v>
      </c>
      <c r="G364" s="1" t="s">
        <v>205</v>
      </c>
      <c r="H364" s="1" t="s">
        <v>25</v>
      </c>
      <c r="I364" s="1"/>
    </row>
    <row r="365" spans="1:9" x14ac:dyDescent="0.3">
      <c r="A365" s="1" t="s">
        <v>479</v>
      </c>
      <c r="B365" s="1" t="s">
        <v>158</v>
      </c>
      <c r="C365" s="1" t="s">
        <v>223</v>
      </c>
      <c r="D365" s="1" t="s">
        <v>51</v>
      </c>
      <c r="E365" s="1" t="s">
        <v>71</v>
      </c>
      <c r="F365" s="1" t="s">
        <v>183</v>
      </c>
      <c r="G365" s="1" t="s">
        <v>231</v>
      </c>
      <c r="H365" s="1" t="s">
        <v>25</v>
      </c>
      <c r="I365" s="1"/>
    </row>
    <row r="366" spans="1:9" x14ac:dyDescent="0.3">
      <c r="A366" s="1" t="s">
        <v>480</v>
      </c>
      <c r="B366" s="1" t="s">
        <v>130</v>
      </c>
      <c r="C366" s="1" t="s">
        <v>223</v>
      </c>
      <c r="D366" s="1" t="s">
        <v>98</v>
      </c>
      <c r="E366" s="1" t="s">
        <v>93</v>
      </c>
      <c r="F366" s="1" t="s">
        <v>161</v>
      </c>
      <c r="G366" s="1" t="s">
        <v>208</v>
      </c>
      <c r="H366" s="1" t="s">
        <v>25</v>
      </c>
      <c r="I366" s="1"/>
    </row>
    <row r="367" spans="1:9" x14ac:dyDescent="0.3">
      <c r="A367" s="1" t="s">
        <v>481</v>
      </c>
      <c r="B367" s="1" t="s">
        <v>132</v>
      </c>
      <c r="C367" s="1" t="s">
        <v>212</v>
      </c>
      <c r="D367" s="1" t="s">
        <v>51</v>
      </c>
      <c r="E367" s="1" t="s">
        <v>96</v>
      </c>
      <c r="F367" s="1" t="s">
        <v>189</v>
      </c>
      <c r="G367" s="1" t="s">
        <v>218</v>
      </c>
      <c r="H367" s="1" t="s">
        <v>25</v>
      </c>
      <c r="I367" s="1"/>
    </row>
    <row r="368" spans="1:9" x14ac:dyDescent="0.3">
      <c r="A368" s="1" t="s">
        <v>482</v>
      </c>
      <c r="B368" s="1" t="s">
        <v>132</v>
      </c>
      <c r="C368" s="1" t="s">
        <v>154</v>
      </c>
      <c r="D368" s="1" t="s">
        <v>114</v>
      </c>
      <c r="E368" s="1" t="s">
        <v>49</v>
      </c>
      <c r="F368" s="1" t="s">
        <v>59</v>
      </c>
      <c r="G368" s="1" t="s">
        <v>83</v>
      </c>
      <c r="H368" s="1" t="s">
        <v>25</v>
      </c>
      <c r="I368" s="1"/>
    </row>
    <row r="369" spans="1:9" x14ac:dyDescent="0.3">
      <c r="A369" s="1" t="s">
        <v>483</v>
      </c>
      <c r="B369" s="1" t="s">
        <v>135</v>
      </c>
      <c r="C369" s="1" t="s">
        <v>133</v>
      </c>
      <c r="D369" s="1" t="s">
        <v>109</v>
      </c>
      <c r="E369" s="1" t="s">
        <v>48</v>
      </c>
      <c r="F369" s="1" t="s">
        <v>68</v>
      </c>
      <c r="G369" s="1" t="s">
        <v>156</v>
      </c>
      <c r="H369" s="1" t="s">
        <v>25</v>
      </c>
      <c r="I369" s="1"/>
    </row>
    <row r="370" spans="1:9" x14ac:dyDescent="0.3">
      <c r="A370" s="1" t="s">
        <v>484</v>
      </c>
      <c r="B370" s="1" t="s">
        <v>135</v>
      </c>
      <c r="C370" s="1" t="s">
        <v>133</v>
      </c>
      <c r="D370" s="1" t="s">
        <v>114</v>
      </c>
      <c r="E370" s="1" t="s">
        <v>41</v>
      </c>
      <c r="F370" s="1" t="s">
        <v>139</v>
      </c>
      <c r="G370" s="1" t="s">
        <v>152</v>
      </c>
      <c r="H370" s="1" t="s">
        <v>25</v>
      </c>
      <c r="I370" s="1"/>
    </row>
    <row r="371" spans="1:9" x14ac:dyDescent="0.3">
      <c r="A371" s="1" t="s">
        <v>485</v>
      </c>
      <c r="B371" s="1" t="s">
        <v>135</v>
      </c>
      <c r="C371" s="1" t="s">
        <v>188</v>
      </c>
      <c r="D371" s="1" t="s">
        <v>114</v>
      </c>
      <c r="E371" s="1" t="s">
        <v>38</v>
      </c>
      <c r="F371" s="1" t="s">
        <v>93</v>
      </c>
      <c r="G371" s="1" t="s">
        <v>99</v>
      </c>
      <c r="H371" s="1" t="s">
        <v>25</v>
      </c>
      <c r="I371" s="1"/>
    </row>
    <row r="372" spans="1:9" x14ac:dyDescent="0.3">
      <c r="A372" s="1" t="s">
        <v>486</v>
      </c>
      <c r="B372" s="1" t="s">
        <v>132</v>
      </c>
      <c r="C372" s="1" t="s">
        <v>195</v>
      </c>
      <c r="D372" s="1" t="s">
        <v>109</v>
      </c>
      <c r="E372" s="1" t="s">
        <v>26</v>
      </c>
      <c r="F372" s="1" t="s">
        <v>84</v>
      </c>
      <c r="G372" s="1" t="s">
        <v>89</v>
      </c>
      <c r="H372" s="1" t="s">
        <v>25</v>
      </c>
      <c r="I372" s="1"/>
    </row>
    <row r="373" spans="1:9" x14ac:dyDescent="0.3">
      <c r="A373" s="1" t="s">
        <v>487</v>
      </c>
      <c r="B373" s="1" t="s">
        <v>130</v>
      </c>
      <c r="C373" s="1" t="s">
        <v>154</v>
      </c>
      <c r="D373" s="1" t="s">
        <v>167</v>
      </c>
      <c r="E373" s="1" t="s">
        <v>37</v>
      </c>
      <c r="F373" s="1" t="s">
        <v>82</v>
      </c>
      <c r="G373" s="1" t="s">
        <v>82</v>
      </c>
      <c r="H373" s="1" t="s">
        <v>25</v>
      </c>
      <c r="I373" s="1"/>
    </row>
    <row r="374" spans="1:9" x14ac:dyDescent="0.3">
      <c r="A374" s="1" t="s">
        <v>488</v>
      </c>
      <c r="B374" s="1" t="s">
        <v>135</v>
      </c>
      <c r="C374" s="1" t="s">
        <v>133</v>
      </c>
      <c r="D374" s="1" t="s">
        <v>98</v>
      </c>
      <c r="E374" s="1" t="s">
        <v>18</v>
      </c>
      <c r="F374" s="1" t="s">
        <v>24</v>
      </c>
      <c r="G374" s="1" t="s">
        <v>77</v>
      </c>
      <c r="H374" s="1" t="s">
        <v>25</v>
      </c>
      <c r="I374" s="1"/>
    </row>
    <row r="375" spans="1:9" x14ac:dyDescent="0.3">
      <c r="A375" s="1" t="s">
        <v>489</v>
      </c>
      <c r="B375" s="1" t="s">
        <v>135</v>
      </c>
      <c r="C375" s="1" t="s">
        <v>131</v>
      </c>
      <c r="D375" s="1" t="s">
        <v>94</v>
      </c>
      <c r="E375" s="1" t="s">
        <v>18</v>
      </c>
      <c r="F375" s="1" t="s">
        <v>70</v>
      </c>
      <c r="G375" s="1" t="s">
        <v>24</v>
      </c>
      <c r="H375" s="1" t="s">
        <v>25</v>
      </c>
      <c r="I375" s="1"/>
    </row>
    <row r="376" spans="1:9" x14ac:dyDescent="0.3">
      <c r="A376" s="1" t="s">
        <v>490</v>
      </c>
      <c r="B376" s="1" t="s">
        <v>137</v>
      </c>
      <c r="C376" s="1" t="s">
        <v>149</v>
      </c>
      <c r="D376" s="1" t="s">
        <v>51</v>
      </c>
      <c r="E376" s="1" t="s">
        <v>37</v>
      </c>
      <c r="F376" s="1" t="s">
        <v>29</v>
      </c>
      <c r="G376" s="1" t="s">
        <v>29</v>
      </c>
      <c r="H376" s="1" t="s">
        <v>25</v>
      </c>
      <c r="I376" s="1"/>
    </row>
    <row r="377" spans="1:9" x14ac:dyDescent="0.3">
      <c r="A377" s="1" t="s">
        <v>491</v>
      </c>
      <c r="B377" s="1" t="s">
        <v>153</v>
      </c>
      <c r="C377" s="1" t="s">
        <v>149</v>
      </c>
      <c r="D377" s="1" t="s">
        <v>94</v>
      </c>
      <c r="E377" s="1" t="s">
        <v>37</v>
      </c>
      <c r="F377" s="1" t="s">
        <v>26</v>
      </c>
      <c r="G377" s="1" t="s">
        <v>26</v>
      </c>
      <c r="H377" s="1" t="s">
        <v>25</v>
      </c>
      <c r="I377" s="1"/>
    </row>
    <row r="378" spans="1:9" x14ac:dyDescent="0.3">
      <c r="A378" s="1" t="s">
        <v>492</v>
      </c>
      <c r="B378" s="1" t="s">
        <v>135</v>
      </c>
      <c r="C378" s="1" t="s">
        <v>149</v>
      </c>
      <c r="D378" s="1" t="s">
        <v>109</v>
      </c>
      <c r="E378" s="1" t="s">
        <v>18</v>
      </c>
      <c r="F378" s="1" t="s">
        <v>26</v>
      </c>
      <c r="G378" s="1" t="s">
        <v>22</v>
      </c>
      <c r="H378" s="1" t="s">
        <v>25</v>
      </c>
      <c r="I378" s="1"/>
    </row>
    <row r="379" spans="1:9" x14ac:dyDescent="0.3">
      <c r="A379" s="1" t="s">
        <v>493</v>
      </c>
      <c r="B379" s="1" t="s">
        <v>135</v>
      </c>
      <c r="C379" s="1" t="s">
        <v>149</v>
      </c>
      <c r="D379" s="1" t="s">
        <v>114</v>
      </c>
      <c r="E379" s="1" t="s">
        <v>37</v>
      </c>
      <c r="F379" s="1" t="s">
        <v>18</v>
      </c>
      <c r="G379" s="1" t="s">
        <v>18</v>
      </c>
      <c r="H379" s="1" t="s">
        <v>25</v>
      </c>
      <c r="I379" s="1"/>
    </row>
    <row r="380" spans="1:9" x14ac:dyDescent="0.3">
      <c r="A380" s="1" t="s">
        <v>494</v>
      </c>
      <c r="B380" s="1" t="s">
        <v>153</v>
      </c>
      <c r="C380" s="1" t="s">
        <v>149</v>
      </c>
      <c r="D380" s="1" t="s">
        <v>94</v>
      </c>
      <c r="E380" s="1" t="s">
        <v>37</v>
      </c>
      <c r="F380" s="1" t="s">
        <v>32</v>
      </c>
      <c r="G380" s="1" t="s">
        <v>32</v>
      </c>
      <c r="H380" s="1" t="s">
        <v>25</v>
      </c>
      <c r="I380" s="1"/>
    </row>
    <row r="381" spans="1:9" x14ac:dyDescent="0.3">
      <c r="A381" s="1" t="s">
        <v>495</v>
      </c>
      <c r="B381" s="1" t="s">
        <v>153</v>
      </c>
      <c r="C381" s="1" t="s">
        <v>144</v>
      </c>
      <c r="D381" s="1" t="s">
        <v>109</v>
      </c>
      <c r="E381" s="1" t="s">
        <v>34</v>
      </c>
      <c r="F381" s="1" t="s">
        <v>43</v>
      </c>
      <c r="G381" s="1" t="s">
        <v>23</v>
      </c>
      <c r="H381" s="1" t="s">
        <v>25</v>
      </c>
      <c r="I381" s="1"/>
    </row>
    <row r="382" spans="1:9" x14ac:dyDescent="0.3">
      <c r="A382" s="1" t="s">
        <v>496</v>
      </c>
      <c r="B382" s="1" t="s">
        <v>172</v>
      </c>
      <c r="C382" s="1" t="s">
        <v>133</v>
      </c>
      <c r="D382" s="1" t="s">
        <v>98</v>
      </c>
      <c r="E382" s="1" t="s">
        <v>22</v>
      </c>
      <c r="F382" s="1" t="s">
        <v>58</v>
      </c>
      <c r="G382" s="1" t="s">
        <v>103</v>
      </c>
      <c r="H382" s="1" t="s">
        <v>25</v>
      </c>
      <c r="I382" s="1"/>
    </row>
    <row r="383" spans="1:9" x14ac:dyDescent="0.3">
      <c r="A383" s="1" t="s">
        <v>497</v>
      </c>
      <c r="B383" s="1" t="s">
        <v>172</v>
      </c>
      <c r="C383" s="1" t="s">
        <v>133</v>
      </c>
      <c r="D383" s="1" t="s">
        <v>98</v>
      </c>
      <c r="E383" s="1" t="s">
        <v>29</v>
      </c>
      <c r="F383" s="1" t="s">
        <v>100</v>
      </c>
      <c r="G383" s="1" t="s">
        <v>68</v>
      </c>
      <c r="H383" s="1" t="s">
        <v>25</v>
      </c>
      <c r="I383" s="1"/>
    </row>
    <row r="384" spans="1:9" x14ac:dyDescent="0.3">
      <c r="A384" s="1" t="s">
        <v>498</v>
      </c>
      <c r="B384" s="1" t="s">
        <v>172</v>
      </c>
      <c r="C384" s="1" t="s">
        <v>144</v>
      </c>
      <c r="D384" s="1" t="s">
        <v>51</v>
      </c>
      <c r="E384" s="1" t="s">
        <v>41</v>
      </c>
      <c r="F384" s="1" t="s">
        <v>139</v>
      </c>
      <c r="G384" s="1" t="s">
        <v>152</v>
      </c>
      <c r="H384" s="1" t="s">
        <v>25</v>
      </c>
      <c r="I384" s="1"/>
    </row>
    <row r="385" spans="1:9" x14ac:dyDescent="0.3">
      <c r="A385" s="1" t="s">
        <v>499</v>
      </c>
      <c r="B385" s="1" t="s">
        <v>172</v>
      </c>
      <c r="C385" s="1" t="s">
        <v>175</v>
      </c>
      <c r="D385" s="1" t="s">
        <v>94</v>
      </c>
      <c r="E385" s="1" t="s">
        <v>43</v>
      </c>
      <c r="F385" s="1" t="s">
        <v>63</v>
      </c>
      <c r="G385" s="1" t="s">
        <v>110</v>
      </c>
      <c r="H385" s="1" t="s">
        <v>25</v>
      </c>
      <c r="I385" s="1"/>
    </row>
    <row r="386" spans="1:9" x14ac:dyDescent="0.3">
      <c r="A386" s="1" t="s">
        <v>500</v>
      </c>
      <c r="B386" s="1" t="s">
        <v>135</v>
      </c>
      <c r="C386" s="1" t="s">
        <v>133</v>
      </c>
      <c r="D386" s="1" t="s">
        <v>109</v>
      </c>
      <c r="E386" s="1" t="s">
        <v>36</v>
      </c>
      <c r="F386" s="1" t="s">
        <v>75</v>
      </c>
      <c r="G386" s="1" t="s">
        <v>187</v>
      </c>
      <c r="H386" s="1" t="s">
        <v>25</v>
      </c>
      <c r="I386" s="1"/>
    </row>
    <row r="387" spans="1:9" x14ac:dyDescent="0.3">
      <c r="A387" s="1" t="s">
        <v>501</v>
      </c>
      <c r="B387" s="1" t="s">
        <v>135</v>
      </c>
      <c r="C387" s="1" t="s">
        <v>133</v>
      </c>
      <c r="D387" s="1" t="s">
        <v>109</v>
      </c>
      <c r="E387" s="1" t="s">
        <v>23</v>
      </c>
      <c r="F387" s="1" t="s">
        <v>187</v>
      </c>
      <c r="G387" s="1" t="s">
        <v>81</v>
      </c>
      <c r="H387" s="1" t="s">
        <v>25</v>
      </c>
      <c r="I387" s="1"/>
    </row>
    <row r="388" spans="1:9" x14ac:dyDescent="0.3">
      <c r="A388" s="1" t="s">
        <v>502</v>
      </c>
      <c r="B388" s="1" t="s">
        <v>132</v>
      </c>
      <c r="C388" s="1" t="s">
        <v>149</v>
      </c>
      <c r="D388" s="1" t="s">
        <v>167</v>
      </c>
      <c r="E388" s="1" t="s">
        <v>52</v>
      </c>
      <c r="F388" s="1" t="s">
        <v>115</v>
      </c>
      <c r="G388" s="1" t="s">
        <v>196</v>
      </c>
      <c r="H388" s="1" t="s">
        <v>25</v>
      </c>
      <c r="I388" s="1"/>
    </row>
    <row r="389" spans="1:9" x14ac:dyDescent="0.3">
      <c r="A389" s="1" t="s">
        <v>503</v>
      </c>
      <c r="B389" s="1" t="s">
        <v>132</v>
      </c>
      <c r="C389" s="1" t="s">
        <v>133</v>
      </c>
      <c r="D389" s="1" t="s">
        <v>114</v>
      </c>
      <c r="E389" s="1" t="s">
        <v>89</v>
      </c>
      <c r="F389" s="1" t="s">
        <v>162</v>
      </c>
      <c r="G389" s="1" t="s">
        <v>81</v>
      </c>
      <c r="H389" s="1" t="s">
        <v>25</v>
      </c>
      <c r="I389" s="1"/>
    </row>
    <row r="390" spans="1:9" x14ac:dyDescent="0.3">
      <c r="A390" s="1" t="s">
        <v>504</v>
      </c>
      <c r="B390" s="1" t="s">
        <v>132</v>
      </c>
      <c r="C390" s="1" t="s">
        <v>133</v>
      </c>
      <c r="D390" s="1" t="s">
        <v>114</v>
      </c>
      <c r="E390" s="1" t="s">
        <v>38</v>
      </c>
      <c r="F390" s="1" t="s">
        <v>116</v>
      </c>
      <c r="G390" s="1" t="s">
        <v>189</v>
      </c>
      <c r="H390" s="1" t="s">
        <v>25</v>
      </c>
      <c r="I390" s="1"/>
    </row>
    <row r="391" spans="1:9" x14ac:dyDescent="0.3">
      <c r="A391" s="1" t="s">
        <v>505</v>
      </c>
      <c r="B391" s="1" t="s">
        <v>135</v>
      </c>
      <c r="C391" s="1" t="s">
        <v>188</v>
      </c>
      <c r="D391" s="1" t="s">
        <v>94</v>
      </c>
      <c r="E391" s="1" t="s">
        <v>34</v>
      </c>
      <c r="F391" s="1" t="s">
        <v>83</v>
      </c>
      <c r="G391" s="1" t="s">
        <v>72</v>
      </c>
      <c r="H391" s="1" t="s">
        <v>25</v>
      </c>
      <c r="I391" s="1"/>
    </row>
    <row r="392" spans="1:9" x14ac:dyDescent="0.3">
      <c r="A392" s="1" t="s">
        <v>506</v>
      </c>
      <c r="B392" s="1" t="s">
        <v>137</v>
      </c>
      <c r="C392" s="1" t="s">
        <v>175</v>
      </c>
      <c r="D392" s="1" t="s">
        <v>51</v>
      </c>
      <c r="E392" s="1" t="s">
        <v>41</v>
      </c>
      <c r="F392" s="1" t="s">
        <v>194</v>
      </c>
      <c r="G392" s="1" t="s">
        <v>180</v>
      </c>
      <c r="H392" s="1" t="s">
        <v>25</v>
      </c>
      <c r="I392" s="1"/>
    </row>
    <row r="393" spans="1:9" x14ac:dyDescent="0.3">
      <c r="A393" s="1" t="s">
        <v>507</v>
      </c>
      <c r="B393" s="1" t="s">
        <v>153</v>
      </c>
      <c r="C393" s="1" t="s">
        <v>176</v>
      </c>
      <c r="D393" s="1" t="s">
        <v>94</v>
      </c>
      <c r="E393" s="1" t="s">
        <v>26</v>
      </c>
      <c r="F393" s="1" t="s">
        <v>118</v>
      </c>
      <c r="G393" s="1" t="s">
        <v>157</v>
      </c>
      <c r="H393" s="1" t="s">
        <v>25</v>
      </c>
      <c r="I393" s="1"/>
    </row>
    <row r="394" spans="1:9" x14ac:dyDescent="0.3">
      <c r="A394" s="1" t="s">
        <v>508</v>
      </c>
      <c r="B394" s="1" t="s">
        <v>172</v>
      </c>
      <c r="C394" s="1" t="s">
        <v>28</v>
      </c>
      <c r="D394" s="1" t="s">
        <v>94</v>
      </c>
      <c r="E394" s="1" t="s">
        <v>34</v>
      </c>
      <c r="F394" s="1" t="s">
        <v>62</v>
      </c>
      <c r="G394" s="1" t="s">
        <v>103</v>
      </c>
      <c r="H394" s="1" t="s">
        <v>25</v>
      </c>
      <c r="I394" s="1"/>
    </row>
    <row r="395" spans="1:9" x14ac:dyDescent="0.3">
      <c r="A395" s="1" t="s">
        <v>509</v>
      </c>
      <c r="B395" s="1" t="s">
        <v>172</v>
      </c>
      <c r="C395" s="1" t="s">
        <v>28</v>
      </c>
      <c r="D395" s="1" t="s">
        <v>94</v>
      </c>
      <c r="E395" s="1" t="s">
        <v>22</v>
      </c>
      <c r="F395" s="1" t="s">
        <v>53</v>
      </c>
      <c r="G395" s="1" t="s">
        <v>33</v>
      </c>
      <c r="H395" s="1" t="s">
        <v>25</v>
      </c>
      <c r="I395" s="1"/>
    </row>
    <row r="396" spans="1:9" x14ac:dyDescent="0.3">
      <c r="A396" s="1" t="s">
        <v>510</v>
      </c>
      <c r="B396" s="1" t="s">
        <v>146</v>
      </c>
      <c r="C396" s="1" t="s">
        <v>286</v>
      </c>
      <c r="D396" s="1" t="s">
        <v>51</v>
      </c>
      <c r="E396" s="1" t="s">
        <v>37</v>
      </c>
      <c r="F396" s="1" t="s">
        <v>23</v>
      </c>
      <c r="G396" s="1" t="s">
        <v>23</v>
      </c>
      <c r="H396" s="1" t="s">
        <v>25</v>
      </c>
      <c r="I396" s="1"/>
    </row>
    <row r="397" spans="1:9" x14ac:dyDescent="0.3">
      <c r="A397" s="1" t="s">
        <v>511</v>
      </c>
      <c r="B397" s="1" t="s">
        <v>140</v>
      </c>
      <c r="C397" s="1" t="s">
        <v>42</v>
      </c>
      <c r="D397" s="1" t="s">
        <v>56</v>
      </c>
      <c r="E397" s="1" t="s">
        <v>18</v>
      </c>
      <c r="F397" s="1" t="s">
        <v>22</v>
      </c>
      <c r="G397" s="1" t="s">
        <v>34</v>
      </c>
      <c r="H397" s="1" t="s">
        <v>25</v>
      </c>
      <c r="I397" s="1"/>
    </row>
    <row r="398" spans="1:9" x14ac:dyDescent="0.3">
      <c r="A398" s="1" t="s">
        <v>512</v>
      </c>
      <c r="B398" s="1" t="s">
        <v>153</v>
      </c>
      <c r="C398" s="1" t="s">
        <v>42</v>
      </c>
      <c r="D398" s="1" t="s">
        <v>122</v>
      </c>
      <c r="E398" s="1" t="s">
        <v>37</v>
      </c>
      <c r="F398" s="1" t="s">
        <v>22</v>
      </c>
      <c r="G398" s="1" t="s">
        <v>22</v>
      </c>
      <c r="H398" s="1" t="s">
        <v>25</v>
      </c>
      <c r="I398" s="1"/>
    </row>
    <row r="399" spans="1:9" x14ac:dyDescent="0.3">
      <c r="A399" s="1" t="s">
        <v>513</v>
      </c>
      <c r="B399" s="1" t="s">
        <v>135</v>
      </c>
      <c r="C399" s="1" t="s">
        <v>42</v>
      </c>
      <c r="D399" s="1" t="s">
        <v>98</v>
      </c>
      <c r="E399" s="1" t="s">
        <v>37</v>
      </c>
      <c r="F399" s="1" t="s">
        <v>93</v>
      </c>
      <c r="G399" s="1" t="s">
        <v>93</v>
      </c>
      <c r="H399" s="1" t="s">
        <v>25</v>
      </c>
      <c r="I399" s="1"/>
    </row>
    <row r="400" spans="1:9" x14ac:dyDescent="0.3">
      <c r="A400" s="1" t="s">
        <v>514</v>
      </c>
      <c r="B400" s="1" t="s">
        <v>130</v>
      </c>
      <c r="C400" s="1" t="s">
        <v>28</v>
      </c>
      <c r="D400" s="1" t="s">
        <v>114</v>
      </c>
      <c r="E400" s="1" t="s">
        <v>26</v>
      </c>
      <c r="F400" s="1" t="s">
        <v>57</v>
      </c>
      <c r="G400" s="1" t="s">
        <v>99</v>
      </c>
      <c r="H400" s="1" t="s">
        <v>25</v>
      </c>
      <c r="I400" s="1"/>
    </row>
    <row r="401" spans="1:9" x14ac:dyDescent="0.3">
      <c r="A401" s="1" t="s">
        <v>515</v>
      </c>
      <c r="B401" s="1" t="s">
        <v>130</v>
      </c>
      <c r="C401" s="1" t="s">
        <v>91</v>
      </c>
      <c r="D401" s="1" t="s">
        <v>114</v>
      </c>
      <c r="E401" s="1" t="s">
        <v>22</v>
      </c>
      <c r="F401" s="1" t="s">
        <v>30</v>
      </c>
      <c r="G401" s="1" t="s">
        <v>71</v>
      </c>
      <c r="H401" s="1" t="s">
        <v>25</v>
      </c>
      <c r="I401" s="1"/>
    </row>
    <row r="402" spans="1:9" x14ac:dyDescent="0.3">
      <c r="A402" s="1" t="s">
        <v>516</v>
      </c>
      <c r="B402" s="1" t="s">
        <v>130</v>
      </c>
      <c r="C402" s="1" t="s">
        <v>91</v>
      </c>
      <c r="D402" s="1" t="s">
        <v>94</v>
      </c>
      <c r="E402" s="1" t="s">
        <v>37</v>
      </c>
      <c r="F402" s="1" t="s">
        <v>156</v>
      </c>
      <c r="G402" s="1" t="s">
        <v>156</v>
      </c>
      <c r="H402" s="1" t="s">
        <v>25</v>
      </c>
      <c r="I402" s="1"/>
    </row>
    <row r="403" spans="1:9" x14ac:dyDescent="0.3">
      <c r="A403" s="1" t="s">
        <v>517</v>
      </c>
      <c r="B403" s="1" t="s">
        <v>130</v>
      </c>
      <c r="C403" s="1" t="s">
        <v>78</v>
      </c>
      <c r="D403" s="1" t="s">
        <v>94</v>
      </c>
      <c r="E403" s="1" t="s">
        <v>18</v>
      </c>
      <c r="F403" s="1" t="s">
        <v>243</v>
      </c>
      <c r="G403" s="1" t="s">
        <v>244</v>
      </c>
      <c r="H403" s="1" t="s">
        <v>25</v>
      </c>
      <c r="I403" s="1"/>
    </row>
    <row r="404" spans="1:9" x14ac:dyDescent="0.3">
      <c r="A404" s="1" t="s">
        <v>518</v>
      </c>
      <c r="B404" s="1" t="s">
        <v>130</v>
      </c>
      <c r="C404" s="1" t="s">
        <v>28</v>
      </c>
      <c r="D404" s="1" t="s">
        <v>114</v>
      </c>
      <c r="E404" s="1" t="s">
        <v>18</v>
      </c>
      <c r="F404" s="1" t="s">
        <v>230</v>
      </c>
      <c r="G404" s="1" t="s">
        <v>253</v>
      </c>
      <c r="H404" s="1" t="s">
        <v>25</v>
      </c>
      <c r="I404" s="1"/>
    </row>
    <row r="405" spans="1:9" x14ac:dyDescent="0.3">
      <c r="A405" s="1" t="s">
        <v>519</v>
      </c>
      <c r="B405" s="1" t="s">
        <v>130</v>
      </c>
      <c r="C405" s="1" t="s">
        <v>28</v>
      </c>
      <c r="D405" s="1" t="s">
        <v>109</v>
      </c>
      <c r="E405" s="1" t="s">
        <v>18</v>
      </c>
      <c r="F405" s="1" t="s">
        <v>184</v>
      </c>
      <c r="G405" s="1" t="s">
        <v>208</v>
      </c>
      <c r="H405" s="1" t="s">
        <v>25</v>
      </c>
      <c r="I405" s="1"/>
    </row>
    <row r="406" spans="1:9" x14ac:dyDescent="0.3">
      <c r="A406" s="1" t="s">
        <v>520</v>
      </c>
      <c r="B406" s="1" t="s">
        <v>27</v>
      </c>
      <c r="C406" s="1" t="s">
        <v>91</v>
      </c>
      <c r="D406" s="1" t="s">
        <v>21</v>
      </c>
      <c r="E406" s="1" t="s">
        <v>37</v>
      </c>
      <c r="F406" s="1" t="s">
        <v>192</v>
      </c>
      <c r="G406" s="1" t="s">
        <v>192</v>
      </c>
      <c r="H406" s="1" t="s">
        <v>25</v>
      </c>
      <c r="I406" s="1"/>
    </row>
    <row r="407" spans="1:9" x14ac:dyDescent="0.3">
      <c r="A407" s="1" t="s">
        <v>521</v>
      </c>
      <c r="B407" s="1" t="s">
        <v>158</v>
      </c>
      <c r="C407" s="1" t="s">
        <v>286</v>
      </c>
      <c r="D407" s="1" t="s">
        <v>167</v>
      </c>
      <c r="E407" s="1" t="s">
        <v>37</v>
      </c>
      <c r="F407" s="1" t="s">
        <v>79</v>
      </c>
      <c r="G407" s="1" t="s">
        <v>79</v>
      </c>
      <c r="H407" s="1" t="s">
        <v>25</v>
      </c>
      <c r="I407" s="1"/>
    </row>
    <row r="408" spans="1:9" x14ac:dyDescent="0.3">
      <c r="A408" s="1" t="s">
        <v>522</v>
      </c>
      <c r="B408" s="1" t="s">
        <v>39</v>
      </c>
      <c r="C408" s="1" t="s">
        <v>286</v>
      </c>
      <c r="D408" s="1" t="s">
        <v>40</v>
      </c>
      <c r="E408" s="1" t="s">
        <v>37</v>
      </c>
      <c r="F408" s="1" t="s">
        <v>103</v>
      </c>
      <c r="G408" s="1" t="s">
        <v>103</v>
      </c>
      <c r="H408" s="1" t="s">
        <v>25</v>
      </c>
      <c r="I408" s="1"/>
    </row>
    <row r="409" spans="1:9" x14ac:dyDescent="0.3">
      <c r="A409" s="1" t="s">
        <v>523</v>
      </c>
      <c r="B409" s="1" t="s">
        <v>27</v>
      </c>
      <c r="C409" s="1" t="s">
        <v>286</v>
      </c>
      <c r="D409" s="1" t="s">
        <v>21</v>
      </c>
      <c r="E409" s="1" t="s">
        <v>18</v>
      </c>
      <c r="F409" s="1" t="s">
        <v>84</v>
      </c>
      <c r="G409" s="1" t="s">
        <v>86</v>
      </c>
      <c r="H409" s="1" t="s">
        <v>25</v>
      </c>
      <c r="I409" s="1"/>
    </row>
    <row r="410" spans="1:9" x14ac:dyDescent="0.3">
      <c r="A410" s="1" t="s">
        <v>524</v>
      </c>
      <c r="B410" s="1" t="s">
        <v>27</v>
      </c>
      <c r="C410" s="1" t="s">
        <v>286</v>
      </c>
      <c r="D410" s="1" t="s">
        <v>21</v>
      </c>
      <c r="E410" s="1" t="s">
        <v>37</v>
      </c>
      <c r="F410" s="1" t="s">
        <v>22</v>
      </c>
      <c r="G410" s="1" t="s">
        <v>22</v>
      </c>
      <c r="H410" s="1" t="s">
        <v>25</v>
      </c>
      <c r="I410" s="1"/>
    </row>
    <row r="411" spans="1:9" x14ac:dyDescent="0.3">
      <c r="A411" s="1" t="s">
        <v>525</v>
      </c>
      <c r="B411" s="1" t="s">
        <v>130</v>
      </c>
      <c r="C411" s="1" t="s">
        <v>286</v>
      </c>
      <c r="D411" s="1" t="s">
        <v>109</v>
      </c>
      <c r="E411" s="1" t="s">
        <v>18</v>
      </c>
      <c r="F411" s="1" t="s">
        <v>38</v>
      </c>
      <c r="G411" s="1" t="s">
        <v>41</v>
      </c>
      <c r="H411" s="1" t="s">
        <v>25</v>
      </c>
      <c r="I411" s="1"/>
    </row>
    <row r="412" spans="1:9" x14ac:dyDescent="0.3">
      <c r="A412" s="1" t="s">
        <v>526</v>
      </c>
      <c r="B412" s="1" t="s">
        <v>130</v>
      </c>
      <c r="C412" s="1" t="s">
        <v>286</v>
      </c>
      <c r="D412" s="1" t="s">
        <v>109</v>
      </c>
      <c r="E412" s="1" t="s">
        <v>37</v>
      </c>
      <c r="F412" s="1" t="s">
        <v>22</v>
      </c>
      <c r="G412" s="1" t="s">
        <v>22</v>
      </c>
      <c r="H412" s="1" t="s">
        <v>25</v>
      </c>
      <c r="I412" s="1"/>
    </row>
    <row r="413" spans="1:9" x14ac:dyDescent="0.3">
      <c r="A413" s="1" t="s">
        <v>527</v>
      </c>
      <c r="B413" s="1" t="s">
        <v>130</v>
      </c>
      <c r="C413" s="1" t="s">
        <v>286</v>
      </c>
      <c r="D413" s="1" t="s">
        <v>109</v>
      </c>
      <c r="E413" s="1" t="s">
        <v>18</v>
      </c>
      <c r="F413" s="1" t="s">
        <v>18</v>
      </c>
      <c r="G413" s="1" t="s">
        <v>26</v>
      </c>
      <c r="H413" s="1" t="s">
        <v>25</v>
      </c>
      <c r="I413" s="1"/>
    </row>
    <row r="414" spans="1:9" x14ac:dyDescent="0.3">
      <c r="A414" s="1" t="s">
        <v>528</v>
      </c>
      <c r="B414" s="1" t="s">
        <v>39</v>
      </c>
      <c r="C414" s="1" t="s">
        <v>286</v>
      </c>
      <c r="D414" s="1" t="s">
        <v>40</v>
      </c>
      <c r="E414" s="1" t="s">
        <v>37</v>
      </c>
      <c r="F414" s="1" t="s">
        <v>41</v>
      </c>
      <c r="G414" s="1" t="s">
        <v>41</v>
      </c>
      <c r="H414" s="1" t="s">
        <v>25</v>
      </c>
      <c r="I414" s="1"/>
    </row>
    <row r="415" spans="1:9" x14ac:dyDescent="0.3">
      <c r="A415" s="1" t="s">
        <v>529</v>
      </c>
      <c r="B415" s="1" t="s">
        <v>39</v>
      </c>
      <c r="C415" s="1" t="s">
        <v>286</v>
      </c>
      <c r="D415" s="1" t="s">
        <v>40</v>
      </c>
      <c r="E415" s="1" t="s">
        <v>37</v>
      </c>
      <c r="F415" s="1" t="s">
        <v>30</v>
      </c>
      <c r="G415" s="1" t="s">
        <v>30</v>
      </c>
      <c r="H415" s="1" t="s">
        <v>25</v>
      </c>
      <c r="I415" s="1"/>
    </row>
    <row r="416" spans="1:9" x14ac:dyDescent="0.3">
      <c r="A416" s="1" t="s">
        <v>530</v>
      </c>
      <c r="B416" s="1" t="s">
        <v>39</v>
      </c>
      <c r="C416" s="1" t="s">
        <v>531</v>
      </c>
      <c r="D416" s="1" t="s">
        <v>167</v>
      </c>
      <c r="E416" s="1" t="s">
        <v>18</v>
      </c>
      <c r="F416" s="1" t="s">
        <v>203</v>
      </c>
      <c r="G416" s="1" t="s">
        <v>204</v>
      </c>
      <c r="H416" s="1" t="s">
        <v>25</v>
      </c>
      <c r="I416" s="1"/>
    </row>
    <row r="417" spans="1:9" x14ac:dyDescent="0.3">
      <c r="A417" s="1" t="s">
        <v>532</v>
      </c>
      <c r="B417" s="1" t="s">
        <v>39</v>
      </c>
      <c r="C417" s="1" t="s">
        <v>286</v>
      </c>
      <c r="D417" s="1" t="s">
        <v>167</v>
      </c>
      <c r="E417" s="1" t="s">
        <v>18</v>
      </c>
      <c r="F417" s="1" t="s">
        <v>311</v>
      </c>
      <c r="G417" s="1" t="s">
        <v>312</v>
      </c>
      <c r="H417" s="1" t="s">
        <v>25</v>
      </c>
      <c r="I417" s="1"/>
    </row>
    <row r="418" spans="1:9" x14ac:dyDescent="0.3">
      <c r="A418" s="1" t="s">
        <v>533</v>
      </c>
      <c r="B418" s="1" t="s">
        <v>39</v>
      </c>
      <c r="C418" s="1" t="s">
        <v>286</v>
      </c>
      <c r="D418" s="1" t="s">
        <v>167</v>
      </c>
      <c r="E418" s="1" t="s">
        <v>26</v>
      </c>
      <c r="F418" s="1" t="s">
        <v>220</v>
      </c>
      <c r="G418" s="1" t="s">
        <v>213</v>
      </c>
      <c r="H418" s="1" t="s">
        <v>25</v>
      </c>
      <c r="I418" s="1"/>
    </row>
    <row r="419" spans="1:9" x14ac:dyDescent="0.3">
      <c r="A419" s="1" t="s">
        <v>534</v>
      </c>
      <c r="B419" s="1" t="s">
        <v>27</v>
      </c>
      <c r="C419" s="1" t="s">
        <v>286</v>
      </c>
      <c r="D419" s="1" t="s">
        <v>109</v>
      </c>
      <c r="E419" s="1" t="s">
        <v>18</v>
      </c>
      <c r="F419" s="1" t="s">
        <v>104</v>
      </c>
      <c r="G419" s="1" t="s">
        <v>68</v>
      </c>
      <c r="H419" s="1" t="s">
        <v>25</v>
      </c>
      <c r="I419" s="1"/>
    </row>
    <row r="420" spans="1:9" x14ac:dyDescent="0.3">
      <c r="A420" s="1" t="s">
        <v>535</v>
      </c>
      <c r="B420" s="1" t="s">
        <v>44</v>
      </c>
      <c r="C420" s="1" t="s">
        <v>91</v>
      </c>
      <c r="D420" s="1" t="s">
        <v>40</v>
      </c>
      <c r="E420" s="1" t="s">
        <v>32</v>
      </c>
      <c r="F420" s="1" t="s">
        <v>68</v>
      </c>
      <c r="G420" s="1" t="s">
        <v>80</v>
      </c>
      <c r="H420" s="1" t="s">
        <v>25</v>
      </c>
      <c r="I420" s="1"/>
    </row>
    <row r="421" spans="1:9" x14ac:dyDescent="0.3">
      <c r="A421" s="1" t="s">
        <v>536</v>
      </c>
      <c r="B421" s="1" t="s">
        <v>222</v>
      </c>
      <c r="C421" s="1" t="s">
        <v>20</v>
      </c>
      <c r="D421" s="1" t="s">
        <v>40</v>
      </c>
      <c r="E421" s="1" t="s">
        <v>32</v>
      </c>
      <c r="F421" s="1" t="s">
        <v>119</v>
      </c>
      <c r="G421" s="1" t="s">
        <v>75</v>
      </c>
      <c r="H421" s="1" t="s">
        <v>25</v>
      </c>
      <c r="I421" s="1"/>
    </row>
    <row r="422" spans="1:9" x14ac:dyDescent="0.3">
      <c r="A422" s="1" t="s">
        <v>537</v>
      </c>
      <c r="B422" s="1" t="s">
        <v>90</v>
      </c>
      <c r="C422" s="1" t="s">
        <v>538</v>
      </c>
      <c r="D422" s="1" t="s">
        <v>56</v>
      </c>
      <c r="E422" s="1" t="s">
        <v>49</v>
      </c>
      <c r="F422" s="1" t="s">
        <v>83</v>
      </c>
      <c r="G422" s="1" t="s">
        <v>183</v>
      </c>
      <c r="H422" s="1" t="s">
        <v>25</v>
      </c>
      <c r="I422" s="1"/>
    </row>
    <row r="423" spans="1:9" x14ac:dyDescent="0.3">
      <c r="A423" s="1" t="s">
        <v>539</v>
      </c>
      <c r="B423" s="1" t="s">
        <v>90</v>
      </c>
      <c r="C423" s="1" t="s">
        <v>540</v>
      </c>
      <c r="D423" s="1" t="s">
        <v>51</v>
      </c>
      <c r="E423" s="1" t="s">
        <v>41</v>
      </c>
      <c r="F423" s="1" t="s">
        <v>171</v>
      </c>
      <c r="G423" s="1" t="s">
        <v>111</v>
      </c>
      <c r="H423" s="1" t="s">
        <v>25</v>
      </c>
      <c r="I423" s="1"/>
    </row>
    <row r="424" spans="1:9" x14ac:dyDescent="0.3">
      <c r="A424" s="1" t="s">
        <v>541</v>
      </c>
      <c r="B424" s="1" t="s">
        <v>90</v>
      </c>
      <c r="C424" s="1" t="s">
        <v>328</v>
      </c>
      <c r="D424" s="1" t="s">
        <v>56</v>
      </c>
      <c r="E424" s="1" t="s">
        <v>34</v>
      </c>
      <c r="F424" s="1" t="s">
        <v>183</v>
      </c>
      <c r="G424" s="1" t="s">
        <v>189</v>
      </c>
      <c r="H424" s="1" t="s">
        <v>25</v>
      </c>
      <c r="I424" s="1"/>
    </row>
    <row r="425" spans="1:9" x14ac:dyDescent="0.3">
      <c r="A425" s="1" t="s">
        <v>542</v>
      </c>
      <c r="B425" s="1" t="s">
        <v>50</v>
      </c>
      <c r="C425" s="1" t="s">
        <v>540</v>
      </c>
      <c r="D425" s="1" t="s">
        <v>141</v>
      </c>
      <c r="E425" s="1" t="s">
        <v>36</v>
      </c>
      <c r="F425" s="1" t="s">
        <v>69</v>
      </c>
      <c r="G425" s="1" t="s">
        <v>217</v>
      </c>
      <c r="H425" s="1" t="s">
        <v>25</v>
      </c>
      <c r="I425" s="1"/>
    </row>
    <row r="426" spans="1:9" x14ac:dyDescent="0.3">
      <c r="A426" s="1" t="s">
        <v>543</v>
      </c>
      <c r="B426" s="1" t="s">
        <v>55</v>
      </c>
      <c r="C426" s="1" t="s">
        <v>117</v>
      </c>
      <c r="D426" s="1" t="s">
        <v>122</v>
      </c>
      <c r="E426" s="1" t="s">
        <v>41</v>
      </c>
      <c r="F426" s="1" t="s">
        <v>225</v>
      </c>
      <c r="G426" s="1" t="s">
        <v>312</v>
      </c>
      <c r="H426" s="1" t="s">
        <v>25</v>
      </c>
      <c r="I426" s="1"/>
    </row>
    <row r="427" spans="1:9" x14ac:dyDescent="0.3">
      <c r="A427" s="1" t="s">
        <v>544</v>
      </c>
      <c r="B427" s="1" t="s">
        <v>222</v>
      </c>
      <c r="C427" s="1" t="s">
        <v>545</v>
      </c>
      <c r="D427" s="1" t="s">
        <v>56</v>
      </c>
      <c r="E427" s="1" t="s">
        <v>32</v>
      </c>
      <c r="F427" s="1" t="s">
        <v>276</v>
      </c>
      <c r="G427" s="1" t="s">
        <v>279</v>
      </c>
      <c r="H427" s="1" t="s">
        <v>25</v>
      </c>
      <c r="I427" s="1"/>
    </row>
    <row r="428" spans="1:9" x14ac:dyDescent="0.3">
      <c r="A428" s="1" t="s">
        <v>546</v>
      </c>
      <c r="B428" s="1" t="s">
        <v>19</v>
      </c>
      <c r="C428" s="1" t="s">
        <v>117</v>
      </c>
      <c r="D428" s="1" t="s">
        <v>138</v>
      </c>
      <c r="E428" s="1" t="s">
        <v>34</v>
      </c>
      <c r="F428" s="1" t="s">
        <v>221</v>
      </c>
      <c r="G428" s="1" t="s">
        <v>202</v>
      </c>
      <c r="H428" s="1" t="s">
        <v>25</v>
      </c>
      <c r="I428" s="1"/>
    </row>
    <row r="429" spans="1:9" x14ac:dyDescent="0.3">
      <c r="A429" s="1" t="s">
        <v>547</v>
      </c>
      <c r="B429" s="1" t="s">
        <v>44</v>
      </c>
      <c r="C429" s="1" t="s">
        <v>195</v>
      </c>
      <c r="D429" s="1" t="s">
        <v>67</v>
      </c>
      <c r="E429" s="1" t="s">
        <v>26</v>
      </c>
      <c r="F429" s="1" t="s">
        <v>115</v>
      </c>
      <c r="G429" s="1" t="s">
        <v>116</v>
      </c>
      <c r="H429" s="1" t="s">
        <v>25</v>
      </c>
      <c r="I429" s="1"/>
    </row>
    <row r="430" spans="1:9" x14ac:dyDescent="0.3">
      <c r="A430" s="1" t="s">
        <v>548</v>
      </c>
      <c r="B430" s="1" t="s">
        <v>19</v>
      </c>
      <c r="C430" s="1" t="s">
        <v>195</v>
      </c>
      <c r="D430" s="1" t="s">
        <v>138</v>
      </c>
      <c r="E430" s="1" t="s">
        <v>34</v>
      </c>
      <c r="F430" s="1" t="s">
        <v>63</v>
      </c>
      <c r="G430" s="1" t="s">
        <v>113</v>
      </c>
      <c r="H430" s="1" t="s">
        <v>25</v>
      </c>
      <c r="I430" s="1"/>
    </row>
    <row r="431" spans="1:9" x14ac:dyDescent="0.3">
      <c r="A431" s="1" t="s">
        <v>549</v>
      </c>
      <c r="B431" s="1" t="s">
        <v>44</v>
      </c>
      <c r="C431" s="1" t="s">
        <v>193</v>
      </c>
      <c r="D431" s="1" t="s">
        <v>114</v>
      </c>
      <c r="E431" s="1" t="s">
        <v>38</v>
      </c>
      <c r="F431" s="1" t="s">
        <v>105</v>
      </c>
      <c r="G431" s="1" t="s">
        <v>113</v>
      </c>
      <c r="H431" s="1" t="s">
        <v>25</v>
      </c>
      <c r="I431" s="1"/>
    </row>
    <row r="432" spans="1:9" x14ac:dyDescent="0.3">
      <c r="A432" s="1" t="s">
        <v>550</v>
      </c>
      <c r="B432" s="1" t="s">
        <v>27</v>
      </c>
      <c r="C432" s="1" t="s">
        <v>193</v>
      </c>
      <c r="D432" s="1" t="s">
        <v>302</v>
      </c>
      <c r="E432" s="1" t="s">
        <v>18</v>
      </c>
      <c r="F432" s="1" t="s">
        <v>33</v>
      </c>
      <c r="G432" s="1" t="s">
        <v>99</v>
      </c>
      <c r="H432" s="1" t="s">
        <v>25</v>
      </c>
      <c r="I432" s="1"/>
    </row>
    <row r="433" spans="1:9" x14ac:dyDescent="0.3">
      <c r="A433" s="1" t="s">
        <v>551</v>
      </c>
      <c r="B433" s="1" t="s">
        <v>130</v>
      </c>
      <c r="C433" s="1" t="s">
        <v>190</v>
      </c>
      <c r="D433" s="1" t="s">
        <v>141</v>
      </c>
      <c r="E433" s="1" t="s">
        <v>32</v>
      </c>
      <c r="F433" s="1" t="s">
        <v>29</v>
      </c>
      <c r="G433" s="1" t="s">
        <v>23</v>
      </c>
      <c r="H433" s="1" t="s">
        <v>25</v>
      </c>
      <c r="I433" s="1"/>
    </row>
    <row r="434" spans="1:9" x14ac:dyDescent="0.3">
      <c r="A434" s="1" t="s">
        <v>552</v>
      </c>
      <c r="B434" s="1" t="s">
        <v>27</v>
      </c>
      <c r="C434" s="1" t="s">
        <v>190</v>
      </c>
      <c r="D434" s="1" t="s">
        <v>21</v>
      </c>
      <c r="E434" s="1" t="s">
        <v>26</v>
      </c>
      <c r="F434" s="1" t="s">
        <v>22</v>
      </c>
      <c r="G434" s="1" t="s">
        <v>32</v>
      </c>
      <c r="H434" s="1" t="s">
        <v>25</v>
      </c>
      <c r="I434" s="1"/>
    </row>
    <row r="435" spans="1:9" x14ac:dyDescent="0.3">
      <c r="A435" s="1" t="s">
        <v>553</v>
      </c>
      <c r="B435" s="1" t="s">
        <v>27</v>
      </c>
      <c r="C435" s="1" t="s">
        <v>190</v>
      </c>
      <c r="D435" s="1" t="s">
        <v>21</v>
      </c>
      <c r="E435" s="1" t="s">
        <v>37</v>
      </c>
      <c r="F435" s="1" t="s">
        <v>26</v>
      </c>
      <c r="G435" s="1" t="s">
        <v>26</v>
      </c>
      <c r="H435" s="1" t="s">
        <v>25</v>
      </c>
      <c r="I435" s="1"/>
    </row>
    <row r="436" spans="1:9" x14ac:dyDescent="0.3">
      <c r="A436" s="1" t="s">
        <v>554</v>
      </c>
      <c r="B436" s="1" t="s">
        <v>39</v>
      </c>
      <c r="C436" s="1" t="s">
        <v>190</v>
      </c>
      <c r="D436" s="1" t="s">
        <v>114</v>
      </c>
      <c r="E436" s="1" t="s">
        <v>37</v>
      </c>
      <c r="F436" s="1" t="s">
        <v>18</v>
      </c>
      <c r="G436" s="1" t="s">
        <v>18</v>
      </c>
      <c r="H436" s="1" t="s">
        <v>25</v>
      </c>
      <c r="I436" s="1"/>
    </row>
    <row r="437" spans="1:9" x14ac:dyDescent="0.3">
      <c r="A437" s="1" t="s">
        <v>555</v>
      </c>
      <c r="B437" s="1" t="s">
        <v>39</v>
      </c>
      <c r="C437" s="1" t="s">
        <v>190</v>
      </c>
      <c r="D437" s="1" t="s">
        <v>114</v>
      </c>
      <c r="E437" s="1" t="s">
        <v>37</v>
      </c>
      <c r="F437" s="1" t="s">
        <v>18</v>
      </c>
      <c r="G437" s="1" t="s">
        <v>18</v>
      </c>
      <c r="H437" s="1" t="s">
        <v>25</v>
      </c>
      <c r="I437" s="1"/>
    </row>
    <row r="438" spans="1:9" x14ac:dyDescent="0.3">
      <c r="A438" s="1" t="s">
        <v>556</v>
      </c>
      <c r="B438" s="1" t="s">
        <v>130</v>
      </c>
      <c r="C438" s="1" t="s">
        <v>557</v>
      </c>
      <c r="D438" s="1" t="s">
        <v>98</v>
      </c>
      <c r="E438" s="1" t="s">
        <v>37</v>
      </c>
      <c r="F438" s="1" t="s">
        <v>38</v>
      </c>
      <c r="G438" s="1" t="s">
        <v>38</v>
      </c>
      <c r="H438" s="1" t="s">
        <v>25</v>
      </c>
      <c r="I438" s="1"/>
    </row>
    <row r="439" spans="1:9" x14ac:dyDescent="0.3">
      <c r="A439" s="1" t="s">
        <v>558</v>
      </c>
      <c r="B439" s="1" t="s">
        <v>132</v>
      </c>
      <c r="C439" s="1" t="s">
        <v>557</v>
      </c>
      <c r="D439" s="1" t="s">
        <v>98</v>
      </c>
      <c r="E439" s="1" t="s">
        <v>37</v>
      </c>
      <c r="F439" s="1" t="s">
        <v>71</v>
      </c>
      <c r="G439" s="1" t="s">
        <v>71</v>
      </c>
      <c r="H439" s="1" t="s">
        <v>25</v>
      </c>
      <c r="I439" s="1"/>
    </row>
    <row r="440" spans="1:9" x14ac:dyDescent="0.3">
      <c r="A440" s="1" t="s">
        <v>559</v>
      </c>
      <c r="B440" s="1" t="s">
        <v>132</v>
      </c>
      <c r="C440" s="1" t="s">
        <v>175</v>
      </c>
      <c r="D440" s="1" t="s">
        <v>98</v>
      </c>
      <c r="E440" s="1" t="s">
        <v>18</v>
      </c>
      <c r="F440" s="1" t="s">
        <v>185</v>
      </c>
      <c r="G440" s="1" t="s">
        <v>211</v>
      </c>
      <c r="H440" s="1" t="s">
        <v>25</v>
      </c>
      <c r="I440" s="1"/>
    </row>
    <row r="441" spans="1:9" x14ac:dyDescent="0.3">
      <c r="A441" s="1" t="s">
        <v>560</v>
      </c>
      <c r="B441" s="1" t="s">
        <v>132</v>
      </c>
      <c r="C441" s="1" t="s">
        <v>175</v>
      </c>
      <c r="D441" s="1" t="s">
        <v>56</v>
      </c>
      <c r="E441" s="1" t="s">
        <v>26</v>
      </c>
      <c r="F441" s="1" t="s">
        <v>359</v>
      </c>
      <c r="G441" s="1" t="s">
        <v>361</v>
      </c>
      <c r="H441" s="1" t="s">
        <v>25</v>
      </c>
      <c r="I441" s="1"/>
    </row>
    <row r="442" spans="1:9" x14ac:dyDescent="0.3">
      <c r="A442" s="1" t="s">
        <v>561</v>
      </c>
      <c r="B442" s="1" t="s">
        <v>130</v>
      </c>
      <c r="C442" s="1" t="s">
        <v>193</v>
      </c>
      <c r="D442" s="1" t="s">
        <v>98</v>
      </c>
      <c r="E442" s="1" t="s">
        <v>22</v>
      </c>
      <c r="F442" s="1" t="s">
        <v>261</v>
      </c>
      <c r="G442" s="1" t="s">
        <v>264</v>
      </c>
      <c r="H442" s="1" t="s">
        <v>25</v>
      </c>
      <c r="I442" s="1"/>
    </row>
    <row r="443" spans="1:9" x14ac:dyDescent="0.3">
      <c r="A443" s="1" t="s">
        <v>562</v>
      </c>
      <c r="B443" s="1" t="s">
        <v>130</v>
      </c>
      <c r="C443" s="1" t="s">
        <v>197</v>
      </c>
      <c r="D443" s="1" t="s">
        <v>67</v>
      </c>
      <c r="E443" s="1" t="s">
        <v>18</v>
      </c>
      <c r="F443" s="1" t="s">
        <v>59</v>
      </c>
      <c r="G443" s="1" t="s">
        <v>152</v>
      </c>
      <c r="H443" s="1" t="s">
        <v>25</v>
      </c>
      <c r="I443" s="1"/>
    </row>
    <row r="444" spans="1:9" x14ac:dyDescent="0.3">
      <c r="A444" s="1" t="s">
        <v>563</v>
      </c>
      <c r="B444" s="1" t="s">
        <v>27</v>
      </c>
      <c r="C444" s="1" t="s">
        <v>458</v>
      </c>
      <c r="D444" s="1" t="s">
        <v>114</v>
      </c>
      <c r="E444" s="1" t="s">
        <v>32</v>
      </c>
      <c r="F444" s="1" t="s">
        <v>145</v>
      </c>
      <c r="G444" s="1" t="s">
        <v>171</v>
      </c>
      <c r="H444" s="1" t="s">
        <v>25</v>
      </c>
      <c r="I444" s="1"/>
    </row>
    <row r="445" spans="1:9" x14ac:dyDescent="0.3">
      <c r="A445" s="1" t="s">
        <v>564</v>
      </c>
      <c r="B445" s="1" t="s">
        <v>55</v>
      </c>
      <c r="C445" s="1" t="s">
        <v>124</v>
      </c>
      <c r="D445" s="1" t="s">
        <v>21</v>
      </c>
      <c r="E445" s="1" t="s">
        <v>41</v>
      </c>
      <c r="F445" s="1" t="s">
        <v>161</v>
      </c>
      <c r="G445" s="1" t="s">
        <v>64</v>
      </c>
      <c r="H445" s="1" t="s">
        <v>25</v>
      </c>
      <c r="I445" s="1"/>
    </row>
    <row r="446" spans="1:9" x14ac:dyDescent="0.3">
      <c r="A446" s="1" t="s">
        <v>565</v>
      </c>
      <c r="B446" s="1" t="s">
        <v>19</v>
      </c>
      <c r="C446" s="1" t="s">
        <v>458</v>
      </c>
      <c r="D446" s="1" t="s">
        <v>167</v>
      </c>
      <c r="E446" s="1" t="s">
        <v>52</v>
      </c>
      <c r="F446" s="1" t="s">
        <v>196</v>
      </c>
      <c r="G446" s="1" t="s">
        <v>184</v>
      </c>
      <c r="H446" s="1" t="s">
        <v>25</v>
      </c>
      <c r="I446" s="1"/>
    </row>
    <row r="447" spans="1:9" x14ac:dyDescent="0.3">
      <c r="A447" s="1" t="s">
        <v>566</v>
      </c>
      <c r="B447" s="1" t="s">
        <v>44</v>
      </c>
      <c r="C447" s="1" t="s">
        <v>458</v>
      </c>
      <c r="D447" s="1" t="s">
        <v>109</v>
      </c>
      <c r="E447" s="1" t="s">
        <v>38</v>
      </c>
      <c r="F447" s="1" t="s">
        <v>111</v>
      </c>
      <c r="G447" s="1" t="s">
        <v>150</v>
      </c>
      <c r="H447" s="1" t="s">
        <v>25</v>
      </c>
      <c r="I447" s="1"/>
    </row>
    <row r="448" spans="1:9" x14ac:dyDescent="0.3">
      <c r="A448" s="1" t="s">
        <v>567</v>
      </c>
      <c r="B448" s="1" t="s">
        <v>222</v>
      </c>
      <c r="C448" s="1" t="s">
        <v>458</v>
      </c>
      <c r="D448" s="1" t="s">
        <v>94</v>
      </c>
      <c r="E448" s="1" t="s">
        <v>29</v>
      </c>
      <c r="F448" s="1" t="s">
        <v>163</v>
      </c>
      <c r="G448" s="1" t="s">
        <v>75</v>
      </c>
      <c r="H448" s="1" t="s">
        <v>25</v>
      </c>
      <c r="I448" s="1"/>
    </row>
    <row r="449" spans="1:9" x14ac:dyDescent="0.3">
      <c r="A449" s="1" t="s">
        <v>568</v>
      </c>
      <c r="B449" s="1" t="s">
        <v>44</v>
      </c>
      <c r="C449" s="1" t="s">
        <v>195</v>
      </c>
      <c r="D449" s="1" t="s">
        <v>109</v>
      </c>
      <c r="E449" s="1" t="s">
        <v>29</v>
      </c>
      <c r="F449" s="1" t="s">
        <v>192</v>
      </c>
      <c r="G449" s="1" t="s">
        <v>205</v>
      </c>
      <c r="H449" s="1" t="s">
        <v>25</v>
      </c>
      <c r="I449" s="1"/>
    </row>
    <row r="450" spans="1:9" x14ac:dyDescent="0.3">
      <c r="A450" s="1" t="s">
        <v>569</v>
      </c>
      <c r="B450" s="1" t="s">
        <v>222</v>
      </c>
      <c r="C450" s="1" t="s">
        <v>195</v>
      </c>
      <c r="D450" s="1" t="s">
        <v>167</v>
      </c>
      <c r="E450" s="1" t="s">
        <v>29</v>
      </c>
      <c r="F450" s="1" t="s">
        <v>322</v>
      </c>
      <c r="G450" s="1" t="s">
        <v>329</v>
      </c>
      <c r="H450" s="1" t="s">
        <v>25</v>
      </c>
      <c r="I450" s="1"/>
    </row>
    <row r="451" spans="1:9" x14ac:dyDescent="0.3">
      <c r="A451" s="1" t="s">
        <v>570</v>
      </c>
      <c r="B451" s="1" t="s">
        <v>39</v>
      </c>
      <c r="C451" s="1" t="s">
        <v>190</v>
      </c>
      <c r="D451" s="1" t="s">
        <v>94</v>
      </c>
      <c r="E451" s="1" t="s">
        <v>18</v>
      </c>
      <c r="F451" s="1" t="s">
        <v>298</v>
      </c>
      <c r="G451" s="1" t="s">
        <v>299</v>
      </c>
      <c r="H451" s="1" t="s">
        <v>25</v>
      </c>
      <c r="I451" s="1"/>
    </row>
    <row r="452" spans="1:9" x14ac:dyDescent="0.3">
      <c r="A452" s="1" t="s">
        <v>571</v>
      </c>
      <c r="B452" s="1" t="s">
        <v>130</v>
      </c>
      <c r="C452" s="1" t="s">
        <v>190</v>
      </c>
      <c r="D452" s="1" t="s">
        <v>122</v>
      </c>
      <c r="E452" s="1" t="s">
        <v>38</v>
      </c>
      <c r="F452" s="1" t="s">
        <v>164</v>
      </c>
      <c r="G452" s="1" t="s">
        <v>272</v>
      </c>
      <c r="H452" s="1" t="s">
        <v>25</v>
      </c>
      <c r="I452" s="1"/>
    </row>
    <row r="453" spans="1:9" x14ac:dyDescent="0.3">
      <c r="A453" s="1" t="s">
        <v>572</v>
      </c>
      <c r="B453" s="1" t="s">
        <v>158</v>
      </c>
      <c r="C453" s="1" t="s">
        <v>557</v>
      </c>
      <c r="D453" s="1" t="s">
        <v>56</v>
      </c>
      <c r="E453" s="1" t="s">
        <v>26</v>
      </c>
      <c r="F453" s="1" t="s">
        <v>243</v>
      </c>
      <c r="G453" s="1" t="s">
        <v>245</v>
      </c>
      <c r="H453" s="1" t="s">
        <v>25</v>
      </c>
      <c r="I453" s="1"/>
    </row>
    <row r="454" spans="1:9" x14ac:dyDescent="0.3">
      <c r="A454" s="1" t="s">
        <v>573</v>
      </c>
      <c r="B454" s="1" t="s">
        <v>130</v>
      </c>
      <c r="C454" s="1" t="s">
        <v>557</v>
      </c>
      <c r="D454" s="1" t="s">
        <v>51</v>
      </c>
      <c r="E454" s="1" t="s">
        <v>22</v>
      </c>
      <c r="F454" s="1" t="s">
        <v>106</v>
      </c>
      <c r="G454" s="1" t="s">
        <v>152</v>
      </c>
      <c r="H454" s="1" t="s">
        <v>25</v>
      </c>
      <c r="I454" s="1"/>
    </row>
    <row r="455" spans="1:9" x14ac:dyDescent="0.3">
      <c r="A455" s="1" t="s">
        <v>574</v>
      </c>
      <c r="B455" s="1" t="s">
        <v>132</v>
      </c>
      <c r="C455" s="1" t="s">
        <v>575</v>
      </c>
      <c r="D455" s="1" t="s">
        <v>56</v>
      </c>
      <c r="E455" s="1" t="s">
        <v>37</v>
      </c>
      <c r="F455" s="1" t="s">
        <v>59</v>
      </c>
      <c r="G455" s="1" t="s">
        <v>59</v>
      </c>
      <c r="H455" s="1" t="s">
        <v>25</v>
      </c>
      <c r="I455" s="1"/>
    </row>
    <row r="456" spans="1:9" x14ac:dyDescent="0.3">
      <c r="A456" s="1" t="s">
        <v>576</v>
      </c>
      <c r="B456" s="1" t="s">
        <v>132</v>
      </c>
      <c r="C456" s="1" t="s">
        <v>575</v>
      </c>
      <c r="D456" s="1" t="s">
        <v>122</v>
      </c>
      <c r="E456" s="1" t="s">
        <v>22</v>
      </c>
      <c r="F456" s="1" t="s">
        <v>99</v>
      </c>
      <c r="G456" s="1" t="s">
        <v>87</v>
      </c>
      <c r="H456" s="1" t="s">
        <v>25</v>
      </c>
      <c r="I456" s="1"/>
    </row>
    <row r="457" spans="1:9" x14ac:dyDescent="0.3">
      <c r="A457" s="1" t="s">
        <v>577</v>
      </c>
      <c r="B457" s="1" t="s">
        <v>130</v>
      </c>
      <c r="C457" s="1" t="s">
        <v>578</v>
      </c>
      <c r="D457" s="1" t="s">
        <v>51</v>
      </c>
      <c r="E457" s="1" t="s">
        <v>18</v>
      </c>
      <c r="F457" s="1" t="s">
        <v>86</v>
      </c>
      <c r="G457" s="1" t="s">
        <v>89</v>
      </c>
      <c r="H457" s="1" t="s">
        <v>25</v>
      </c>
      <c r="I457" s="1"/>
    </row>
    <row r="458" spans="1:9" x14ac:dyDescent="0.3">
      <c r="A458" s="1" t="s">
        <v>579</v>
      </c>
      <c r="B458" s="1" t="s">
        <v>130</v>
      </c>
      <c r="C458" s="1" t="s">
        <v>578</v>
      </c>
      <c r="D458" s="1" t="s">
        <v>51</v>
      </c>
      <c r="E458" s="1" t="s">
        <v>37</v>
      </c>
      <c r="F458" s="1" t="s">
        <v>38</v>
      </c>
      <c r="G458" s="1" t="s">
        <v>38</v>
      </c>
      <c r="H458" s="1" t="s">
        <v>25</v>
      </c>
      <c r="I458" s="1"/>
    </row>
    <row r="459" spans="1:9" x14ac:dyDescent="0.3">
      <c r="A459" s="1" t="s">
        <v>580</v>
      </c>
      <c r="B459" s="1" t="s">
        <v>158</v>
      </c>
      <c r="C459" s="1" t="s">
        <v>35</v>
      </c>
      <c r="D459" s="1" t="s">
        <v>114</v>
      </c>
      <c r="E459" s="1" t="s">
        <v>37</v>
      </c>
      <c r="F459" s="1" t="s">
        <v>26</v>
      </c>
      <c r="G459" s="1" t="s">
        <v>26</v>
      </c>
      <c r="H459" s="1" t="s">
        <v>25</v>
      </c>
      <c r="I459" s="1"/>
    </row>
    <row r="460" spans="1:9" x14ac:dyDescent="0.3">
      <c r="A460" s="1" t="s">
        <v>581</v>
      </c>
      <c r="B460" s="1" t="s">
        <v>132</v>
      </c>
      <c r="C460" s="1" t="s">
        <v>28</v>
      </c>
      <c r="D460" s="1" t="s">
        <v>67</v>
      </c>
      <c r="E460" s="1" t="s">
        <v>37</v>
      </c>
      <c r="F460" s="1" t="s">
        <v>18</v>
      </c>
      <c r="G460" s="1" t="s">
        <v>18</v>
      </c>
      <c r="H460" s="1" t="s">
        <v>25</v>
      </c>
      <c r="I460" s="1"/>
    </row>
    <row r="461" spans="1:9" x14ac:dyDescent="0.3">
      <c r="A461" s="1" t="s">
        <v>582</v>
      </c>
      <c r="B461" s="1" t="s">
        <v>39</v>
      </c>
      <c r="C461" s="1" t="s">
        <v>91</v>
      </c>
      <c r="D461" s="1" t="s">
        <v>40</v>
      </c>
      <c r="E461" s="1" t="s">
        <v>37</v>
      </c>
      <c r="F461" s="1" t="s">
        <v>18</v>
      </c>
      <c r="G461" s="1" t="s">
        <v>18</v>
      </c>
      <c r="H461" s="1" t="s">
        <v>25</v>
      </c>
      <c r="I461" s="1"/>
    </row>
    <row r="462" spans="1:9" x14ac:dyDescent="0.3">
      <c r="A462" s="1" t="s">
        <v>583</v>
      </c>
      <c r="B462" s="1" t="s">
        <v>135</v>
      </c>
      <c r="C462" s="1" t="s">
        <v>557</v>
      </c>
      <c r="D462" s="1" t="s">
        <v>138</v>
      </c>
      <c r="E462" s="1" t="s">
        <v>18</v>
      </c>
      <c r="F462" s="1" t="s">
        <v>34</v>
      </c>
      <c r="G462" s="1" t="s">
        <v>32</v>
      </c>
      <c r="H462" s="1" t="s">
        <v>25</v>
      </c>
      <c r="I462" s="1"/>
    </row>
    <row r="463" spans="1:9" x14ac:dyDescent="0.3">
      <c r="A463" s="1" t="s">
        <v>584</v>
      </c>
      <c r="B463" s="1" t="s">
        <v>132</v>
      </c>
      <c r="C463" s="1" t="s">
        <v>175</v>
      </c>
      <c r="D463" s="1" t="s">
        <v>51</v>
      </c>
      <c r="E463" s="1" t="s">
        <v>37</v>
      </c>
      <c r="F463" s="1" t="s">
        <v>33</v>
      </c>
      <c r="G463" s="1" t="s">
        <v>33</v>
      </c>
      <c r="H463" s="1" t="s">
        <v>25</v>
      </c>
      <c r="I463" s="1"/>
    </row>
    <row r="464" spans="1:9" x14ac:dyDescent="0.3">
      <c r="A464" s="1" t="s">
        <v>585</v>
      </c>
      <c r="B464" s="1" t="s">
        <v>153</v>
      </c>
      <c r="C464" s="1" t="s">
        <v>188</v>
      </c>
      <c r="D464" s="1" t="s">
        <v>56</v>
      </c>
      <c r="E464" s="1" t="s">
        <v>26</v>
      </c>
      <c r="F464" s="1" t="s">
        <v>160</v>
      </c>
      <c r="G464" s="1" t="s">
        <v>171</v>
      </c>
      <c r="H464" s="1" t="s">
        <v>25</v>
      </c>
      <c r="I464" s="1"/>
    </row>
    <row r="465" spans="1:9" x14ac:dyDescent="0.3">
      <c r="A465" s="1" t="s">
        <v>586</v>
      </c>
      <c r="B465" s="1" t="s">
        <v>153</v>
      </c>
      <c r="C465" s="1" t="s">
        <v>133</v>
      </c>
      <c r="D465" s="1" t="s">
        <v>122</v>
      </c>
      <c r="E465" s="1" t="s">
        <v>41</v>
      </c>
      <c r="F465" s="1" t="s">
        <v>267</v>
      </c>
      <c r="G465" s="1" t="s">
        <v>330</v>
      </c>
      <c r="H465" s="1" t="s">
        <v>25</v>
      </c>
      <c r="I465" s="1"/>
    </row>
    <row r="466" spans="1:9" x14ac:dyDescent="0.3">
      <c r="A466" s="1" t="s">
        <v>587</v>
      </c>
      <c r="B466" s="1" t="s">
        <v>153</v>
      </c>
      <c r="C466" s="1" t="s">
        <v>188</v>
      </c>
      <c r="D466" s="1" t="s">
        <v>128</v>
      </c>
      <c r="E466" s="1" t="s">
        <v>41</v>
      </c>
      <c r="F466" s="1" t="s">
        <v>277</v>
      </c>
      <c r="G466" s="1" t="s">
        <v>226</v>
      </c>
      <c r="H466" s="1" t="s">
        <v>25</v>
      </c>
      <c r="I466" s="1"/>
    </row>
    <row r="467" spans="1:9" x14ac:dyDescent="0.3">
      <c r="A467" s="1" t="s">
        <v>588</v>
      </c>
      <c r="B467" s="1" t="s">
        <v>137</v>
      </c>
      <c r="C467" s="1" t="s">
        <v>133</v>
      </c>
      <c r="D467" s="1" t="s">
        <v>302</v>
      </c>
      <c r="E467" s="1" t="s">
        <v>38</v>
      </c>
      <c r="F467" s="1" t="s">
        <v>152</v>
      </c>
      <c r="G467" s="1" t="s">
        <v>145</v>
      </c>
      <c r="H467" s="1" t="s">
        <v>25</v>
      </c>
      <c r="I467" s="1"/>
    </row>
    <row r="468" spans="1:9" x14ac:dyDescent="0.3">
      <c r="A468" s="1" t="s">
        <v>589</v>
      </c>
      <c r="B468" s="1" t="s">
        <v>153</v>
      </c>
      <c r="C468" s="1" t="s">
        <v>405</v>
      </c>
      <c r="D468" s="1" t="s">
        <v>302</v>
      </c>
      <c r="E468" s="1" t="s">
        <v>38</v>
      </c>
      <c r="F468" s="1" t="s">
        <v>105</v>
      </c>
      <c r="G468" s="1" t="s">
        <v>113</v>
      </c>
      <c r="H468" s="1" t="s">
        <v>25</v>
      </c>
      <c r="I468" s="1"/>
    </row>
    <row r="469" spans="1:9" x14ac:dyDescent="0.3">
      <c r="A469" s="1" t="s">
        <v>590</v>
      </c>
      <c r="B469" s="1" t="s">
        <v>153</v>
      </c>
      <c r="C469" s="1" t="s">
        <v>591</v>
      </c>
      <c r="D469" s="1" t="s">
        <v>379</v>
      </c>
      <c r="E469" s="1" t="s">
        <v>49</v>
      </c>
      <c r="F469" s="1" t="s">
        <v>83</v>
      </c>
      <c r="G469" s="1" t="s">
        <v>183</v>
      </c>
      <c r="H469" s="1" t="s">
        <v>25</v>
      </c>
      <c r="I469" s="1"/>
    </row>
    <row r="470" spans="1:9" x14ac:dyDescent="0.3">
      <c r="A470" s="1" t="s">
        <v>592</v>
      </c>
      <c r="B470" s="1" t="s">
        <v>172</v>
      </c>
      <c r="C470" s="1" t="s">
        <v>593</v>
      </c>
      <c r="D470" s="1" t="s">
        <v>379</v>
      </c>
      <c r="E470" s="1" t="s">
        <v>29</v>
      </c>
      <c r="F470" s="1" t="s">
        <v>119</v>
      </c>
      <c r="G470" s="1" t="s">
        <v>108</v>
      </c>
      <c r="H470" s="1" t="s">
        <v>25</v>
      </c>
      <c r="I470" s="1"/>
    </row>
    <row r="471" spans="1:9" x14ac:dyDescent="0.3">
      <c r="A471" s="1" t="s">
        <v>594</v>
      </c>
      <c r="B471" s="1" t="s">
        <v>172</v>
      </c>
      <c r="C471" s="1" t="s">
        <v>595</v>
      </c>
      <c r="D471" s="1" t="s">
        <v>310</v>
      </c>
      <c r="E471" s="1" t="s">
        <v>38</v>
      </c>
      <c r="F471" s="1" t="s">
        <v>59</v>
      </c>
      <c r="G471" s="1" t="s">
        <v>163</v>
      </c>
      <c r="H471" s="1" t="s">
        <v>25</v>
      </c>
      <c r="I471" s="1"/>
    </row>
    <row r="472" spans="1:9" x14ac:dyDescent="0.3">
      <c r="A472" s="1" t="s">
        <v>596</v>
      </c>
      <c r="B472" s="1" t="s">
        <v>146</v>
      </c>
      <c r="C472" s="1" t="s">
        <v>597</v>
      </c>
      <c r="D472" s="1" t="s">
        <v>125</v>
      </c>
      <c r="E472" s="1" t="s">
        <v>34</v>
      </c>
      <c r="F472" s="1" t="s">
        <v>156</v>
      </c>
      <c r="G472" s="1" t="s">
        <v>119</v>
      </c>
      <c r="H472" s="1" t="s">
        <v>25</v>
      </c>
      <c r="I472" s="1"/>
    </row>
    <row r="473" spans="1:9" x14ac:dyDescent="0.3">
      <c r="A473" s="1" t="s">
        <v>598</v>
      </c>
      <c r="B473" s="1" t="s">
        <v>140</v>
      </c>
      <c r="C473" s="1" t="s">
        <v>597</v>
      </c>
      <c r="D473" s="1" t="s">
        <v>128</v>
      </c>
      <c r="E473" s="1" t="s">
        <v>37</v>
      </c>
      <c r="F473" s="1" t="s">
        <v>191</v>
      </c>
      <c r="G473" s="1" t="s">
        <v>191</v>
      </c>
      <c r="H473" s="1" t="s">
        <v>25</v>
      </c>
      <c r="I473" s="1"/>
    </row>
    <row r="474" spans="1:9" x14ac:dyDescent="0.3">
      <c r="A474" s="1" t="s">
        <v>599</v>
      </c>
      <c r="B474" s="1" t="s">
        <v>146</v>
      </c>
      <c r="C474" s="1" t="s">
        <v>219</v>
      </c>
      <c r="D474" s="1" t="s">
        <v>128</v>
      </c>
      <c r="E474" s="1" t="s">
        <v>36</v>
      </c>
      <c r="F474" s="1" t="s">
        <v>271</v>
      </c>
      <c r="G474" s="1" t="s">
        <v>279</v>
      </c>
      <c r="H474" s="1" t="s">
        <v>25</v>
      </c>
      <c r="I474" s="1"/>
    </row>
    <row r="475" spans="1:9" x14ac:dyDescent="0.3">
      <c r="A475" s="1" t="s">
        <v>600</v>
      </c>
      <c r="B475" s="1" t="s">
        <v>146</v>
      </c>
      <c r="C475" s="1" t="s">
        <v>159</v>
      </c>
      <c r="D475" s="1" t="s">
        <v>51</v>
      </c>
      <c r="E475" s="1" t="s">
        <v>18</v>
      </c>
      <c r="F475" s="1" t="s">
        <v>236</v>
      </c>
      <c r="G475" s="1" t="s">
        <v>237</v>
      </c>
      <c r="H475" s="1" t="s">
        <v>25</v>
      </c>
      <c r="I475" s="1"/>
    </row>
    <row r="476" spans="1:9" x14ac:dyDescent="0.3">
      <c r="A476" s="1" t="s">
        <v>601</v>
      </c>
      <c r="B476" s="1" t="s">
        <v>143</v>
      </c>
      <c r="C476" s="1" t="s">
        <v>159</v>
      </c>
      <c r="D476" s="1" t="s">
        <v>122</v>
      </c>
      <c r="E476" s="1" t="s">
        <v>22</v>
      </c>
      <c r="F476" s="1" t="s">
        <v>81</v>
      </c>
      <c r="G476" s="1" t="s">
        <v>207</v>
      </c>
      <c r="H476" s="1" t="s">
        <v>25</v>
      </c>
      <c r="I476" s="1"/>
    </row>
    <row r="477" spans="1:9" x14ac:dyDescent="0.3">
      <c r="A477" s="1" t="s">
        <v>602</v>
      </c>
      <c r="B477" s="1" t="s">
        <v>301</v>
      </c>
      <c r="C477" s="1" t="s">
        <v>216</v>
      </c>
      <c r="D477" s="1" t="s">
        <v>138</v>
      </c>
      <c r="E477" s="1" t="s">
        <v>18</v>
      </c>
      <c r="F477" s="1" t="s">
        <v>80</v>
      </c>
      <c r="G477" s="1" t="s">
        <v>105</v>
      </c>
      <c r="H477" s="1" t="s">
        <v>25</v>
      </c>
      <c r="I477" s="1"/>
    </row>
    <row r="478" spans="1:9" x14ac:dyDescent="0.3">
      <c r="A478" s="1" t="s">
        <v>603</v>
      </c>
      <c r="B478" s="1" t="s">
        <v>301</v>
      </c>
      <c r="C478" s="1" t="s">
        <v>223</v>
      </c>
      <c r="D478" s="1" t="s">
        <v>56</v>
      </c>
      <c r="E478" s="1" t="s">
        <v>37</v>
      </c>
      <c r="F478" s="1" t="s">
        <v>79</v>
      </c>
      <c r="G478" s="1" t="s">
        <v>79</v>
      </c>
      <c r="H478" s="1" t="s">
        <v>25</v>
      </c>
      <c r="I478" s="1"/>
    </row>
    <row r="479" spans="1:9" x14ac:dyDescent="0.3">
      <c r="A479" s="1" t="s">
        <v>604</v>
      </c>
      <c r="B479" s="1" t="s">
        <v>605</v>
      </c>
      <c r="C479" s="1" t="s">
        <v>405</v>
      </c>
      <c r="D479" s="1" t="s">
        <v>141</v>
      </c>
      <c r="E479" s="1" t="s">
        <v>18</v>
      </c>
      <c r="F479" s="1" t="s">
        <v>103</v>
      </c>
      <c r="G479" s="1" t="s">
        <v>95</v>
      </c>
      <c r="H479" s="1" t="s">
        <v>25</v>
      </c>
      <c r="I479" s="1"/>
    </row>
    <row r="480" spans="1:9" x14ac:dyDescent="0.3">
      <c r="A480" s="1" t="s">
        <v>606</v>
      </c>
      <c r="B480" s="1" t="s">
        <v>607</v>
      </c>
      <c r="C480" s="1" t="s">
        <v>223</v>
      </c>
      <c r="D480" s="1" t="s">
        <v>122</v>
      </c>
      <c r="E480" s="1" t="s">
        <v>37</v>
      </c>
      <c r="F480" s="1" t="s">
        <v>33</v>
      </c>
      <c r="G480" s="1" t="s">
        <v>33</v>
      </c>
      <c r="H480" s="1" t="s">
        <v>25</v>
      </c>
      <c r="I480" s="1"/>
    </row>
    <row r="481" spans="1:9" x14ac:dyDescent="0.3">
      <c r="A481" s="1" t="s">
        <v>608</v>
      </c>
      <c r="B481" s="1" t="s">
        <v>605</v>
      </c>
      <c r="C481" s="1" t="s">
        <v>458</v>
      </c>
      <c r="D481" s="1" t="s">
        <v>51</v>
      </c>
      <c r="E481" s="1" t="s">
        <v>37</v>
      </c>
      <c r="F481" s="1" t="s">
        <v>23</v>
      </c>
      <c r="G481" s="1" t="s">
        <v>23</v>
      </c>
      <c r="H481" s="1" t="s">
        <v>25</v>
      </c>
      <c r="I481" s="1"/>
    </row>
    <row r="482" spans="1:9" x14ac:dyDescent="0.3">
      <c r="A482" s="1" t="s">
        <v>609</v>
      </c>
      <c r="B482" s="1" t="s">
        <v>21</v>
      </c>
      <c r="C482" s="1" t="s">
        <v>405</v>
      </c>
      <c r="D482" s="1" t="s">
        <v>141</v>
      </c>
      <c r="E482" s="1" t="s">
        <v>22</v>
      </c>
      <c r="F482" s="1" t="s">
        <v>43</v>
      </c>
      <c r="G482" s="1" t="s">
        <v>52</v>
      </c>
      <c r="H482" s="1" t="s">
        <v>25</v>
      </c>
      <c r="I482" s="1"/>
    </row>
    <row r="483" spans="1:9" x14ac:dyDescent="0.3">
      <c r="A483" s="1" t="s">
        <v>610</v>
      </c>
      <c r="B483" s="1" t="s">
        <v>605</v>
      </c>
      <c r="C483" s="1" t="s">
        <v>405</v>
      </c>
      <c r="D483" s="1" t="s">
        <v>51</v>
      </c>
      <c r="E483" s="1" t="s">
        <v>37</v>
      </c>
      <c r="F483" s="1" t="s">
        <v>49</v>
      </c>
      <c r="G483" s="1" t="s">
        <v>49</v>
      </c>
      <c r="H483" s="1" t="s">
        <v>25</v>
      </c>
      <c r="I483" s="1"/>
    </row>
    <row r="484" spans="1:9" x14ac:dyDescent="0.3">
      <c r="A484" s="1" t="s">
        <v>611</v>
      </c>
      <c r="B484" s="1" t="s">
        <v>605</v>
      </c>
      <c r="C484" s="1" t="s">
        <v>405</v>
      </c>
      <c r="D484" s="1" t="s">
        <v>56</v>
      </c>
      <c r="E484" s="1" t="s">
        <v>18</v>
      </c>
      <c r="F484" s="1" t="s">
        <v>38</v>
      </c>
      <c r="G484" s="1" t="s">
        <v>41</v>
      </c>
      <c r="H484" s="1" t="s">
        <v>25</v>
      </c>
      <c r="I484" s="1"/>
    </row>
    <row r="485" spans="1:9" x14ac:dyDescent="0.3">
      <c r="A485" s="1" t="s">
        <v>612</v>
      </c>
      <c r="B485" s="1" t="s">
        <v>613</v>
      </c>
      <c r="C485" s="1" t="s">
        <v>197</v>
      </c>
      <c r="D485" s="1" t="s">
        <v>67</v>
      </c>
      <c r="E485" s="1" t="s">
        <v>37</v>
      </c>
      <c r="F485" s="1" t="s">
        <v>22</v>
      </c>
      <c r="G485" s="1" t="s">
        <v>22</v>
      </c>
      <c r="H485" s="1" t="s">
        <v>25</v>
      </c>
      <c r="I485" s="1"/>
    </row>
    <row r="486" spans="1:9" x14ac:dyDescent="0.3">
      <c r="A486" s="1" t="s">
        <v>614</v>
      </c>
      <c r="B486" s="1" t="s">
        <v>605</v>
      </c>
      <c r="C486" s="1" t="s">
        <v>131</v>
      </c>
      <c r="D486" s="1" t="s">
        <v>98</v>
      </c>
      <c r="E486" s="1" t="s">
        <v>37</v>
      </c>
      <c r="F486" s="1" t="s">
        <v>26</v>
      </c>
      <c r="G486" s="1" t="s">
        <v>26</v>
      </c>
      <c r="H486" s="1" t="s">
        <v>25</v>
      </c>
      <c r="I486" s="1"/>
    </row>
    <row r="487" spans="1:9" x14ac:dyDescent="0.3">
      <c r="A487" s="1" t="s">
        <v>615</v>
      </c>
      <c r="B487" s="1" t="s">
        <v>613</v>
      </c>
      <c r="C487" s="1" t="s">
        <v>131</v>
      </c>
      <c r="D487" s="1" t="s">
        <v>56</v>
      </c>
      <c r="E487" s="1" t="s">
        <v>37</v>
      </c>
      <c r="F487" s="1" t="s">
        <v>29</v>
      </c>
      <c r="G487" s="1" t="s">
        <v>29</v>
      </c>
      <c r="H487" s="1" t="s">
        <v>25</v>
      </c>
      <c r="I487" s="1"/>
    </row>
    <row r="488" spans="1:9" x14ac:dyDescent="0.3">
      <c r="A488" s="1" t="s">
        <v>616</v>
      </c>
      <c r="B488" s="1" t="s">
        <v>21</v>
      </c>
      <c r="C488" s="1" t="s">
        <v>131</v>
      </c>
      <c r="D488" s="1" t="s">
        <v>122</v>
      </c>
      <c r="E488" s="1" t="s">
        <v>18</v>
      </c>
      <c r="F488" s="1" t="s">
        <v>57</v>
      </c>
      <c r="G488" s="1" t="s">
        <v>33</v>
      </c>
      <c r="H488" s="1" t="s">
        <v>25</v>
      </c>
      <c r="I488" s="1"/>
    </row>
    <row r="489" spans="1:9" x14ac:dyDescent="0.3">
      <c r="A489" s="1" t="s">
        <v>617</v>
      </c>
      <c r="B489" s="1" t="s">
        <v>605</v>
      </c>
      <c r="C489" s="1" t="s">
        <v>405</v>
      </c>
      <c r="D489" s="1" t="s">
        <v>51</v>
      </c>
      <c r="E489" s="1" t="s">
        <v>22</v>
      </c>
      <c r="F489" s="1" t="s">
        <v>88</v>
      </c>
      <c r="G489" s="1" t="s">
        <v>31</v>
      </c>
      <c r="H489" s="1" t="s">
        <v>25</v>
      </c>
      <c r="I489" s="1"/>
    </row>
    <row r="490" spans="1:9" x14ac:dyDescent="0.3">
      <c r="A490" s="1" t="s">
        <v>618</v>
      </c>
      <c r="B490" s="1" t="s">
        <v>300</v>
      </c>
      <c r="C490" s="1" t="s">
        <v>405</v>
      </c>
      <c r="D490" s="1" t="s">
        <v>114</v>
      </c>
      <c r="E490" s="1" t="s">
        <v>22</v>
      </c>
      <c r="F490" s="1" t="s">
        <v>139</v>
      </c>
      <c r="G490" s="1" t="s">
        <v>105</v>
      </c>
      <c r="H490" s="1" t="s">
        <v>25</v>
      </c>
      <c r="I490" s="1"/>
    </row>
    <row r="491" spans="1:9" x14ac:dyDescent="0.3">
      <c r="A491" s="1" t="s">
        <v>619</v>
      </c>
      <c r="B491" s="1" t="s">
        <v>301</v>
      </c>
      <c r="C491" s="1" t="s">
        <v>223</v>
      </c>
      <c r="D491" s="1" t="s">
        <v>109</v>
      </c>
      <c r="E491" s="1" t="s">
        <v>34</v>
      </c>
      <c r="F491" s="1" t="s">
        <v>113</v>
      </c>
      <c r="G491" s="1" t="s">
        <v>145</v>
      </c>
      <c r="H491" s="1" t="s">
        <v>25</v>
      </c>
      <c r="I491" s="1"/>
    </row>
    <row r="492" spans="1:9" x14ac:dyDescent="0.3">
      <c r="A492" s="1" t="s">
        <v>620</v>
      </c>
      <c r="B492" s="1" t="s">
        <v>143</v>
      </c>
      <c r="C492" s="1" t="s">
        <v>223</v>
      </c>
      <c r="D492" s="1" t="s">
        <v>167</v>
      </c>
      <c r="E492" s="1" t="s">
        <v>36</v>
      </c>
      <c r="F492" s="1" t="s">
        <v>157</v>
      </c>
      <c r="G492" s="1" t="s">
        <v>75</v>
      </c>
      <c r="H492" s="1" t="s">
        <v>25</v>
      </c>
      <c r="I492" s="1"/>
    </row>
    <row r="493" spans="1:9" x14ac:dyDescent="0.3">
      <c r="A493" s="1" t="s">
        <v>621</v>
      </c>
      <c r="B493" s="1" t="s">
        <v>137</v>
      </c>
      <c r="C493" s="1" t="s">
        <v>155</v>
      </c>
      <c r="D493" s="1" t="s">
        <v>21</v>
      </c>
      <c r="E493" s="1" t="s">
        <v>52</v>
      </c>
      <c r="F493" s="1" t="s">
        <v>162</v>
      </c>
      <c r="G493" s="1" t="s">
        <v>64</v>
      </c>
      <c r="H493" s="1" t="s">
        <v>25</v>
      </c>
      <c r="I493" s="1"/>
    </row>
    <row r="494" spans="1:9" x14ac:dyDescent="0.3">
      <c r="A494" s="1" t="s">
        <v>622</v>
      </c>
      <c r="B494" s="1" t="s">
        <v>140</v>
      </c>
      <c r="C494" s="1" t="s">
        <v>216</v>
      </c>
      <c r="D494" s="1" t="s">
        <v>167</v>
      </c>
      <c r="E494" s="1" t="s">
        <v>49</v>
      </c>
      <c r="F494" s="1" t="s">
        <v>110</v>
      </c>
      <c r="G494" s="1" t="s">
        <v>111</v>
      </c>
      <c r="H494" s="1" t="s">
        <v>25</v>
      </c>
      <c r="I494" s="1"/>
    </row>
    <row r="495" spans="1:9" x14ac:dyDescent="0.3">
      <c r="A495" s="1" t="s">
        <v>623</v>
      </c>
      <c r="B495" s="1" t="s">
        <v>172</v>
      </c>
      <c r="C495" s="1" t="s">
        <v>219</v>
      </c>
      <c r="D495" s="1" t="s">
        <v>21</v>
      </c>
      <c r="E495" s="1" t="s">
        <v>36</v>
      </c>
      <c r="F495" s="1" t="s">
        <v>81</v>
      </c>
      <c r="G495" s="1" t="s">
        <v>215</v>
      </c>
      <c r="H495" s="1" t="s">
        <v>25</v>
      </c>
      <c r="I495" s="1"/>
    </row>
    <row r="496" spans="1:9" x14ac:dyDescent="0.3">
      <c r="A496" s="1" t="s">
        <v>624</v>
      </c>
      <c r="B496" s="1" t="s">
        <v>140</v>
      </c>
      <c r="C496" s="1" t="s">
        <v>219</v>
      </c>
      <c r="D496" s="1" t="s">
        <v>94</v>
      </c>
      <c r="E496" s="1" t="s">
        <v>49</v>
      </c>
      <c r="F496" s="1" t="s">
        <v>162</v>
      </c>
      <c r="G496" s="1" t="s">
        <v>192</v>
      </c>
      <c r="H496" s="1" t="s">
        <v>25</v>
      </c>
      <c r="I496" s="1"/>
    </row>
    <row r="497" spans="1:9" x14ac:dyDescent="0.3">
      <c r="A497" s="1" t="s">
        <v>625</v>
      </c>
      <c r="B497" s="1" t="s">
        <v>135</v>
      </c>
      <c r="C497" s="1" t="s">
        <v>219</v>
      </c>
      <c r="D497" s="1" t="s">
        <v>21</v>
      </c>
      <c r="E497" s="1" t="s">
        <v>29</v>
      </c>
      <c r="F497" s="1" t="s">
        <v>113</v>
      </c>
      <c r="G497" s="1" t="s">
        <v>83</v>
      </c>
      <c r="H497" s="1" t="s">
        <v>25</v>
      </c>
      <c r="I497" s="1"/>
    </row>
    <row r="498" spans="1:9" x14ac:dyDescent="0.3">
      <c r="A498" s="1" t="s">
        <v>626</v>
      </c>
      <c r="B498" s="1" t="s">
        <v>305</v>
      </c>
      <c r="C498" s="1" t="s">
        <v>155</v>
      </c>
      <c r="D498" s="1" t="s">
        <v>94</v>
      </c>
      <c r="E498" s="1" t="s">
        <v>37</v>
      </c>
      <c r="F498" s="1" t="s">
        <v>106</v>
      </c>
      <c r="G498" s="1" t="s">
        <v>106</v>
      </c>
      <c r="H498" s="1" t="s">
        <v>25</v>
      </c>
      <c r="I498" s="1"/>
    </row>
    <row r="499" spans="1:9" x14ac:dyDescent="0.3">
      <c r="A499" s="1" t="s">
        <v>627</v>
      </c>
      <c r="B499" s="1" t="s">
        <v>143</v>
      </c>
      <c r="C499" s="1" t="s">
        <v>155</v>
      </c>
      <c r="D499" s="1" t="s">
        <v>109</v>
      </c>
      <c r="E499" s="1" t="s">
        <v>38</v>
      </c>
      <c r="F499" s="1" t="s">
        <v>105</v>
      </c>
      <c r="G499" s="1" t="s">
        <v>113</v>
      </c>
      <c r="H499" s="1" t="s">
        <v>25</v>
      </c>
      <c r="I499" s="1"/>
    </row>
    <row r="500" spans="1:9" x14ac:dyDescent="0.3">
      <c r="A500" s="1" t="s">
        <v>628</v>
      </c>
      <c r="B500" s="1" t="s">
        <v>301</v>
      </c>
      <c r="C500" s="1" t="s">
        <v>458</v>
      </c>
      <c r="D500" s="1" t="s">
        <v>114</v>
      </c>
      <c r="E500" s="1" t="s">
        <v>18</v>
      </c>
      <c r="F500" s="1" t="s">
        <v>126</v>
      </c>
      <c r="G500" s="1" t="s">
        <v>129</v>
      </c>
      <c r="H500" s="1" t="s">
        <v>25</v>
      </c>
      <c r="I500" s="1"/>
    </row>
    <row r="501" spans="1:9" x14ac:dyDescent="0.3">
      <c r="A501" s="1" t="s">
        <v>629</v>
      </c>
      <c r="B501" s="1" t="s">
        <v>143</v>
      </c>
      <c r="C501" s="1" t="s">
        <v>405</v>
      </c>
      <c r="D501" s="1" t="s">
        <v>40</v>
      </c>
      <c r="E501" s="1" t="s">
        <v>37</v>
      </c>
      <c r="F501" s="1" t="s">
        <v>100</v>
      </c>
      <c r="G501" s="1" t="s">
        <v>100</v>
      </c>
      <c r="H501" s="1" t="s">
        <v>25</v>
      </c>
      <c r="I501" s="1"/>
    </row>
    <row r="502" spans="1:9" x14ac:dyDescent="0.3">
      <c r="A502" s="1" t="s">
        <v>630</v>
      </c>
      <c r="B502" s="1" t="s">
        <v>172</v>
      </c>
      <c r="C502" s="1" t="s">
        <v>195</v>
      </c>
      <c r="D502" s="1" t="s">
        <v>21</v>
      </c>
      <c r="E502" s="1" t="s">
        <v>41</v>
      </c>
      <c r="F502" s="1" t="s">
        <v>96</v>
      </c>
      <c r="G502" s="1" t="s">
        <v>58</v>
      </c>
      <c r="H502" s="1" t="s">
        <v>25</v>
      </c>
      <c r="I502" s="1"/>
    </row>
    <row r="503" spans="1:9" x14ac:dyDescent="0.3">
      <c r="A503" s="1" t="s">
        <v>631</v>
      </c>
      <c r="B503" s="1" t="s">
        <v>301</v>
      </c>
      <c r="C503" s="1" t="s">
        <v>117</v>
      </c>
      <c r="D503" s="1" t="s">
        <v>167</v>
      </c>
      <c r="E503" s="1" t="s">
        <v>26</v>
      </c>
      <c r="F503" s="1" t="s">
        <v>87</v>
      </c>
      <c r="G503" s="1" t="s">
        <v>103</v>
      </c>
      <c r="H503" s="1" t="s">
        <v>25</v>
      </c>
      <c r="I503" s="1"/>
    </row>
    <row r="504" spans="1:9" x14ac:dyDescent="0.3">
      <c r="A504" s="1" t="s">
        <v>632</v>
      </c>
      <c r="B504" s="1" t="s">
        <v>301</v>
      </c>
      <c r="C504" s="1" t="s">
        <v>117</v>
      </c>
      <c r="D504" s="1" t="s">
        <v>167</v>
      </c>
      <c r="E504" s="1" t="s">
        <v>26</v>
      </c>
      <c r="F504" s="1" t="s">
        <v>86</v>
      </c>
      <c r="G504" s="1" t="s">
        <v>93</v>
      </c>
      <c r="H504" s="1" t="s">
        <v>25</v>
      </c>
      <c r="I504" s="1"/>
    </row>
    <row r="505" spans="1:9" x14ac:dyDescent="0.3">
      <c r="A505" s="1" t="s">
        <v>633</v>
      </c>
      <c r="B505" s="1" t="s">
        <v>301</v>
      </c>
      <c r="C505" s="1" t="s">
        <v>117</v>
      </c>
      <c r="D505" s="1" t="s">
        <v>167</v>
      </c>
      <c r="E505" s="1" t="s">
        <v>18</v>
      </c>
      <c r="F505" s="1" t="s">
        <v>52</v>
      </c>
      <c r="G505" s="1" t="s">
        <v>23</v>
      </c>
      <c r="H505" s="1" t="s">
        <v>25</v>
      </c>
      <c r="I505" s="1"/>
    </row>
    <row r="506" spans="1:9" x14ac:dyDescent="0.3">
      <c r="A506" s="1" t="s">
        <v>634</v>
      </c>
      <c r="B506" s="1" t="s">
        <v>300</v>
      </c>
      <c r="C506" s="1" t="s">
        <v>538</v>
      </c>
      <c r="D506" s="1" t="s">
        <v>109</v>
      </c>
      <c r="E506" s="1" t="s">
        <v>22</v>
      </c>
      <c r="F506" s="1" t="s">
        <v>70</v>
      </c>
      <c r="G506" s="1" t="s">
        <v>82</v>
      </c>
      <c r="H506" s="1" t="s">
        <v>25</v>
      </c>
      <c r="I506" s="1"/>
    </row>
    <row r="507" spans="1:9" x14ac:dyDescent="0.3">
      <c r="A507" s="1" t="s">
        <v>635</v>
      </c>
      <c r="B507" s="1" t="s">
        <v>300</v>
      </c>
      <c r="C507" s="1" t="s">
        <v>538</v>
      </c>
      <c r="D507" s="1" t="s">
        <v>109</v>
      </c>
      <c r="E507" s="1" t="s">
        <v>18</v>
      </c>
      <c r="F507" s="1" t="s">
        <v>34</v>
      </c>
      <c r="G507" s="1" t="s">
        <v>32</v>
      </c>
      <c r="H507" s="1" t="s">
        <v>25</v>
      </c>
      <c r="I507" s="1"/>
    </row>
    <row r="508" spans="1:9" x14ac:dyDescent="0.3">
      <c r="A508" s="1" t="s">
        <v>636</v>
      </c>
      <c r="B508" s="1" t="s">
        <v>301</v>
      </c>
      <c r="C508" s="1" t="s">
        <v>117</v>
      </c>
      <c r="D508" s="1" t="s">
        <v>167</v>
      </c>
      <c r="E508" s="1" t="s">
        <v>37</v>
      </c>
      <c r="F508" s="1" t="s">
        <v>22</v>
      </c>
      <c r="G508" s="1" t="s">
        <v>22</v>
      </c>
      <c r="H508" s="1" t="s">
        <v>25</v>
      </c>
      <c r="I508" s="1"/>
    </row>
    <row r="509" spans="1:9" x14ac:dyDescent="0.3">
      <c r="A509" s="1" t="s">
        <v>637</v>
      </c>
      <c r="B509" s="1" t="s">
        <v>301</v>
      </c>
      <c r="C509" s="1" t="s">
        <v>117</v>
      </c>
      <c r="D509" s="1" t="s">
        <v>167</v>
      </c>
      <c r="E509" s="1" t="s">
        <v>37</v>
      </c>
      <c r="F509" s="1" t="s">
        <v>18</v>
      </c>
      <c r="G509" s="1" t="s">
        <v>18</v>
      </c>
      <c r="H509" s="1" t="s">
        <v>25</v>
      </c>
      <c r="I509" s="1"/>
    </row>
    <row r="510" spans="1:9" x14ac:dyDescent="0.3">
      <c r="A510" s="1" t="s">
        <v>638</v>
      </c>
      <c r="B510" s="1" t="s">
        <v>143</v>
      </c>
      <c r="C510" s="1" t="s">
        <v>540</v>
      </c>
      <c r="D510" s="1" t="s">
        <v>114</v>
      </c>
      <c r="E510" s="1" t="s">
        <v>18</v>
      </c>
      <c r="F510" s="1" t="s">
        <v>18</v>
      </c>
      <c r="G510" s="1" t="s">
        <v>26</v>
      </c>
      <c r="H510" s="1" t="s">
        <v>25</v>
      </c>
      <c r="I510" s="1"/>
    </row>
    <row r="511" spans="1:9" x14ac:dyDescent="0.3">
      <c r="A511" s="1" t="s">
        <v>639</v>
      </c>
      <c r="B511" s="1" t="s">
        <v>301</v>
      </c>
      <c r="C511" s="1" t="s">
        <v>538</v>
      </c>
      <c r="D511" s="1" t="s">
        <v>114</v>
      </c>
      <c r="E511" s="1" t="s">
        <v>26</v>
      </c>
      <c r="F511" s="1" t="s">
        <v>77</v>
      </c>
      <c r="G511" s="1" t="s">
        <v>84</v>
      </c>
      <c r="H511" s="1" t="s">
        <v>25</v>
      </c>
      <c r="I511" s="1"/>
    </row>
    <row r="512" spans="1:9" x14ac:dyDescent="0.3">
      <c r="A512" s="1" t="s">
        <v>640</v>
      </c>
      <c r="B512" s="1" t="s">
        <v>301</v>
      </c>
      <c r="C512" s="1" t="s">
        <v>328</v>
      </c>
      <c r="D512" s="1" t="s">
        <v>128</v>
      </c>
      <c r="E512" s="1" t="s">
        <v>22</v>
      </c>
      <c r="F512" s="1" t="s">
        <v>92</v>
      </c>
      <c r="G512" s="1" t="s">
        <v>99</v>
      </c>
      <c r="H512" s="1" t="s">
        <v>25</v>
      </c>
      <c r="I512" s="1"/>
    </row>
    <row r="513" spans="1:9" x14ac:dyDescent="0.3">
      <c r="A513" s="1" t="s">
        <v>641</v>
      </c>
      <c r="B513" s="1" t="s">
        <v>143</v>
      </c>
      <c r="C513" s="1" t="s">
        <v>121</v>
      </c>
      <c r="D513" s="1" t="s">
        <v>141</v>
      </c>
      <c r="E513" s="1" t="s">
        <v>41</v>
      </c>
      <c r="F513" s="1" t="s">
        <v>142</v>
      </c>
      <c r="G513" s="1" t="s">
        <v>118</v>
      </c>
      <c r="H513" s="1" t="s">
        <v>25</v>
      </c>
      <c r="I513" s="1"/>
    </row>
    <row r="514" spans="1:9" x14ac:dyDescent="0.3">
      <c r="A514" s="1" t="s">
        <v>642</v>
      </c>
      <c r="B514" s="1" t="s">
        <v>140</v>
      </c>
      <c r="C514" s="1" t="s">
        <v>149</v>
      </c>
      <c r="D514" s="1" t="s">
        <v>98</v>
      </c>
      <c r="E514" s="1" t="s">
        <v>93</v>
      </c>
      <c r="F514" s="1" t="s">
        <v>161</v>
      </c>
      <c r="G514" s="1" t="s">
        <v>208</v>
      </c>
      <c r="H514" s="1" t="s">
        <v>25</v>
      </c>
      <c r="I514" s="1"/>
    </row>
    <row r="515" spans="1:9" x14ac:dyDescent="0.3">
      <c r="A515" s="1" t="s">
        <v>643</v>
      </c>
      <c r="B515" s="1" t="s">
        <v>146</v>
      </c>
      <c r="C515" s="1" t="s">
        <v>212</v>
      </c>
      <c r="D515" s="1" t="s">
        <v>302</v>
      </c>
      <c r="E515" s="1" t="s">
        <v>53</v>
      </c>
      <c r="F515" s="1" t="s">
        <v>180</v>
      </c>
      <c r="G515" s="1" t="s">
        <v>233</v>
      </c>
      <c r="H515" s="1" t="s">
        <v>25</v>
      </c>
      <c r="I515" s="1"/>
    </row>
    <row r="516" spans="1:9" x14ac:dyDescent="0.3">
      <c r="A516" s="1" t="s">
        <v>644</v>
      </c>
      <c r="B516" s="1" t="s">
        <v>143</v>
      </c>
      <c r="C516" s="1" t="s">
        <v>216</v>
      </c>
      <c r="D516" s="1" t="s">
        <v>141</v>
      </c>
      <c r="E516" s="1" t="s">
        <v>52</v>
      </c>
      <c r="F516" s="1" t="s">
        <v>111</v>
      </c>
      <c r="G516" s="1" t="s">
        <v>200</v>
      </c>
      <c r="H516" s="1" t="s">
        <v>25</v>
      </c>
      <c r="I516" s="1"/>
    </row>
    <row r="517" spans="1:9" x14ac:dyDescent="0.3">
      <c r="A517" s="1" t="s">
        <v>645</v>
      </c>
      <c r="B517" s="1" t="s">
        <v>140</v>
      </c>
      <c r="C517" s="1" t="s">
        <v>219</v>
      </c>
      <c r="D517" s="1" t="s">
        <v>128</v>
      </c>
      <c r="E517" s="1" t="s">
        <v>77</v>
      </c>
      <c r="F517" s="1" t="s">
        <v>81</v>
      </c>
      <c r="G517" s="1" t="s">
        <v>76</v>
      </c>
      <c r="H517" s="1" t="s">
        <v>25</v>
      </c>
      <c r="I517" s="1"/>
    </row>
    <row r="518" spans="1:9" x14ac:dyDescent="0.3">
      <c r="A518" s="1" t="s">
        <v>646</v>
      </c>
      <c r="B518" s="1" t="s">
        <v>140</v>
      </c>
      <c r="C518" s="1" t="s">
        <v>219</v>
      </c>
      <c r="D518" s="1" t="s">
        <v>128</v>
      </c>
      <c r="E518" s="1" t="s">
        <v>23</v>
      </c>
      <c r="F518" s="1" t="s">
        <v>110</v>
      </c>
      <c r="G518" s="1" t="s">
        <v>161</v>
      </c>
      <c r="H518" s="1" t="s">
        <v>25</v>
      </c>
      <c r="I518" s="1"/>
    </row>
    <row r="519" spans="1:9" x14ac:dyDescent="0.3">
      <c r="A519" s="1" t="s">
        <v>647</v>
      </c>
      <c r="B519" s="1" t="s">
        <v>140</v>
      </c>
      <c r="C519" s="1" t="s">
        <v>597</v>
      </c>
      <c r="D519" s="1" t="s">
        <v>122</v>
      </c>
      <c r="E519" s="1" t="s">
        <v>43</v>
      </c>
      <c r="F519" s="1" t="s">
        <v>59</v>
      </c>
      <c r="G519" s="1" t="s">
        <v>119</v>
      </c>
      <c r="H519" s="1" t="s">
        <v>25</v>
      </c>
      <c r="I519" s="1"/>
    </row>
    <row r="520" spans="1:9" x14ac:dyDescent="0.3">
      <c r="A520" s="1" t="s">
        <v>648</v>
      </c>
      <c r="B520" s="1" t="s">
        <v>143</v>
      </c>
      <c r="C520" s="1" t="s">
        <v>597</v>
      </c>
      <c r="D520" s="1" t="s">
        <v>141</v>
      </c>
      <c r="E520" s="1" t="s">
        <v>32</v>
      </c>
      <c r="F520" s="1" t="s">
        <v>139</v>
      </c>
      <c r="G520" s="1" t="s">
        <v>63</v>
      </c>
      <c r="H520" s="1" t="s">
        <v>25</v>
      </c>
      <c r="I520" s="1"/>
    </row>
    <row r="521" spans="1:9" x14ac:dyDescent="0.3">
      <c r="A521" s="1" t="s">
        <v>649</v>
      </c>
      <c r="B521" s="1" t="s">
        <v>146</v>
      </c>
      <c r="C521" s="1" t="s">
        <v>159</v>
      </c>
      <c r="D521" s="1" t="s">
        <v>51</v>
      </c>
      <c r="E521" s="1" t="s">
        <v>32</v>
      </c>
      <c r="F521" s="1" t="s">
        <v>126</v>
      </c>
      <c r="G521" s="1" t="s">
        <v>136</v>
      </c>
      <c r="H521" s="1" t="s">
        <v>25</v>
      </c>
      <c r="I521" s="1"/>
    </row>
    <row r="522" spans="1:9" x14ac:dyDescent="0.3">
      <c r="A522" s="1" t="s">
        <v>650</v>
      </c>
      <c r="B522" s="1" t="s">
        <v>146</v>
      </c>
      <c r="C522" s="1" t="s">
        <v>159</v>
      </c>
      <c r="D522" s="1" t="s">
        <v>56</v>
      </c>
      <c r="E522" s="1" t="s">
        <v>32</v>
      </c>
      <c r="F522" s="1" t="s">
        <v>129</v>
      </c>
      <c r="G522" s="1" t="s">
        <v>139</v>
      </c>
      <c r="H522" s="1" t="s">
        <v>25</v>
      </c>
      <c r="I522" s="1"/>
    </row>
    <row r="523" spans="1:9" x14ac:dyDescent="0.3">
      <c r="A523" s="1" t="s">
        <v>651</v>
      </c>
      <c r="B523" s="1" t="s">
        <v>143</v>
      </c>
      <c r="C523" s="1" t="s">
        <v>248</v>
      </c>
      <c r="D523" s="1" t="s">
        <v>51</v>
      </c>
      <c r="E523" s="1" t="s">
        <v>34</v>
      </c>
      <c r="F523" s="1" t="s">
        <v>87</v>
      </c>
      <c r="G523" s="1" t="s">
        <v>71</v>
      </c>
      <c r="H523" s="1" t="s">
        <v>25</v>
      </c>
      <c r="I523" s="1"/>
    </row>
    <row r="524" spans="1:9" x14ac:dyDescent="0.3">
      <c r="A524" s="1" t="s">
        <v>652</v>
      </c>
      <c r="B524" s="1" t="s">
        <v>143</v>
      </c>
      <c r="C524" s="1" t="s">
        <v>248</v>
      </c>
      <c r="D524" s="1" t="s">
        <v>94</v>
      </c>
      <c r="E524" s="1" t="s">
        <v>32</v>
      </c>
      <c r="F524" s="1" t="s">
        <v>86</v>
      </c>
      <c r="G524" s="1" t="s">
        <v>92</v>
      </c>
      <c r="H524" s="1" t="s">
        <v>25</v>
      </c>
      <c r="I524" s="1"/>
    </row>
    <row r="525" spans="1:9" x14ac:dyDescent="0.3">
      <c r="A525" s="1" t="s">
        <v>653</v>
      </c>
      <c r="B525" s="1" t="s">
        <v>305</v>
      </c>
      <c r="C525" s="1" t="s">
        <v>223</v>
      </c>
      <c r="D525" s="1" t="s">
        <v>94</v>
      </c>
      <c r="E525" s="1" t="s">
        <v>32</v>
      </c>
      <c r="F525" s="1" t="s">
        <v>96</v>
      </c>
      <c r="G525" s="1" t="s">
        <v>99</v>
      </c>
      <c r="H525" s="1" t="s">
        <v>25</v>
      </c>
      <c r="I525" s="1"/>
    </row>
    <row r="526" spans="1:9" x14ac:dyDescent="0.3">
      <c r="A526" s="1" t="s">
        <v>654</v>
      </c>
      <c r="B526" s="1" t="s">
        <v>300</v>
      </c>
      <c r="C526" s="1" t="s">
        <v>405</v>
      </c>
      <c r="D526" s="1" t="s">
        <v>98</v>
      </c>
      <c r="E526" s="1" t="s">
        <v>34</v>
      </c>
      <c r="F526" s="1" t="s">
        <v>77</v>
      </c>
      <c r="G526" s="1" t="s">
        <v>89</v>
      </c>
      <c r="H526" s="1" t="s">
        <v>25</v>
      </c>
      <c r="I526" s="1"/>
    </row>
    <row r="527" spans="1:9" x14ac:dyDescent="0.3">
      <c r="A527" s="1" t="s">
        <v>655</v>
      </c>
      <c r="B527" s="1" t="s">
        <v>300</v>
      </c>
      <c r="C527" s="1" t="s">
        <v>405</v>
      </c>
      <c r="D527" s="1" t="s">
        <v>94</v>
      </c>
      <c r="E527" s="1" t="s">
        <v>37</v>
      </c>
      <c r="F527" s="1" t="s">
        <v>41</v>
      </c>
      <c r="G527" s="1" t="s">
        <v>41</v>
      </c>
      <c r="H527" s="1" t="s">
        <v>25</v>
      </c>
      <c r="I527" s="1"/>
    </row>
    <row r="528" spans="1:9" x14ac:dyDescent="0.3">
      <c r="A528" s="1" t="s">
        <v>656</v>
      </c>
      <c r="B528" s="1" t="s">
        <v>607</v>
      </c>
      <c r="C528" s="1" t="s">
        <v>458</v>
      </c>
      <c r="D528" s="1" t="s">
        <v>94</v>
      </c>
      <c r="E528" s="1" t="s">
        <v>37</v>
      </c>
      <c r="F528" s="1" t="s">
        <v>18</v>
      </c>
      <c r="G528" s="1" t="s">
        <v>18</v>
      </c>
      <c r="H528" s="1" t="s">
        <v>25</v>
      </c>
      <c r="I528" s="1"/>
    </row>
    <row r="529" spans="1:9" x14ac:dyDescent="0.3">
      <c r="A529" s="1" t="s">
        <v>657</v>
      </c>
      <c r="B529" s="1" t="s">
        <v>605</v>
      </c>
      <c r="C529" s="1" t="s">
        <v>458</v>
      </c>
      <c r="D529" s="1" t="s">
        <v>51</v>
      </c>
      <c r="E529" s="1" t="s">
        <v>37</v>
      </c>
      <c r="F529" s="1" t="s">
        <v>18</v>
      </c>
      <c r="G529" s="1" t="s">
        <v>18</v>
      </c>
      <c r="H529" s="1" t="s">
        <v>25</v>
      </c>
      <c r="I529" s="1"/>
    </row>
    <row r="530" spans="1:9" x14ac:dyDescent="0.3">
      <c r="A530" s="1" t="s">
        <v>658</v>
      </c>
      <c r="B530" s="1" t="s">
        <v>300</v>
      </c>
      <c r="C530" s="1" t="s">
        <v>197</v>
      </c>
      <c r="D530" s="1" t="s">
        <v>109</v>
      </c>
      <c r="E530" s="1" t="s">
        <v>37</v>
      </c>
      <c r="F530" s="1" t="s">
        <v>18</v>
      </c>
      <c r="G530" s="1" t="s">
        <v>18</v>
      </c>
      <c r="H530" s="1" t="s">
        <v>25</v>
      </c>
      <c r="I530" s="1"/>
    </row>
    <row r="531" spans="1:9" x14ac:dyDescent="0.3">
      <c r="A531" s="1" t="s">
        <v>659</v>
      </c>
      <c r="B531" s="1" t="s">
        <v>300</v>
      </c>
      <c r="C531" s="1" t="s">
        <v>197</v>
      </c>
      <c r="D531" s="1" t="s">
        <v>109</v>
      </c>
      <c r="E531" s="1" t="s">
        <v>37</v>
      </c>
      <c r="F531" s="1" t="s">
        <v>32</v>
      </c>
      <c r="G531" s="1" t="s">
        <v>32</v>
      </c>
      <c r="H531" s="1" t="s">
        <v>25</v>
      </c>
      <c r="I531" s="1"/>
    </row>
    <row r="532" spans="1:9" x14ac:dyDescent="0.3">
      <c r="A532" s="1" t="s">
        <v>660</v>
      </c>
      <c r="B532" s="1" t="s">
        <v>301</v>
      </c>
      <c r="C532" s="1" t="s">
        <v>197</v>
      </c>
      <c r="D532" s="1" t="s">
        <v>40</v>
      </c>
      <c r="E532" s="1" t="s">
        <v>37</v>
      </c>
      <c r="F532" s="1" t="s">
        <v>70</v>
      </c>
      <c r="G532" s="1" t="s">
        <v>70</v>
      </c>
      <c r="H532" s="1" t="s">
        <v>25</v>
      </c>
      <c r="I532" s="1"/>
    </row>
    <row r="533" spans="1:9" x14ac:dyDescent="0.3">
      <c r="A533" s="1" t="s">
        <v>661</v>
      </c>
      <c r="B533" s="1" t="s">
        <v>146</v>
      </c>
      <c r="C533" s="1" t="s">
        <v>197</v>
      </c>
      <c r="D533" s="1" t="s">
        <v>21</v>
      </c>
      <c r="E533" s="1" t="s">
        <v>32</v>
      </c>
      <c r="F533" s="1" t="s">
        <v>186</v>
      </c>
      <c r="G533" s="1" t="s">
        <v>64</v>
      </c>
      <c r="H533" s="1" t="s">
        <v>25</v>
      </c>
      <c r="I533" s="1"/>
    </row>
    <row r="534" spans="1:9" x14ac:dyDescent="0.3">
      <c r="A534" s="1" t="s">
        <v>662</v>
      </c>
      <c r="B534" s="1" t="s">
        <v>140</v>
      </c>
      <c r="C534" s="1" t="s">
        <v>195</v>
      </c>
      <c r="D534" s="1" t="s">
        <v>21</v>
      </c>
      <c r="E534" s="1" t="s">
        <v>38</v>
      </c>
      <c r="F534" s="1" t="s">
        <v>287</v>
      </c>
      <c r="G534" s="1" t="s">
        <v>181</v>
      </c>
      <c r="H534" s="1" t="s">
        <v>25</v>
      </c>
      <c r="I534" s="1"/>
    </row>
    <row r="535" spans="1:9" x14ac:dyDescent="0.3">
      <c r="A535" s="1" t="s">
        <v>663</v>
      </c>
      <c r="B535" s="1" t="s">
        <v>172</v>
      </c>
      <c r="C535" s="1" t="s">
        <v>405</v>
      </c>
      <c r="D535" s="1" t="s">
        <v>21</v>
      </c>
      <c r="E535" s="1" t="s">
        <v>34</v>
      </c>
      <c r="F535" s="1" t="s">
        <v>184</v>
      </c>
      <c r="G535" s="1" t="s">
        <v>169</v>
      </c>
      <c r="H535" s="1" t="s">
        <v>25</v>
      </c>
      <c r="I535" s="1"/>
    </row>
    <row r="536" spans="1:9" x14ac:dyDescent="0.3">
      <c r="A536" s="1" t="s">
        <v>664</v>
      </c>
      <c r="B536" s="1" t="s">
        <v>140</v>
      </c>
      <c r="C536" s="1" t="s">
        <v>124</v>
      </c>
      <c r="D536" s="1" t="s">
        <v>21</v>
      </c>
      <c r="E536" s="1" t="s">
        <v>38</v>
      </c>
      <c r="F536" s="1" t="s">
        <v>95</v>
      </c>
      <c r="G536" s="1" t="s">
        <v>31</v>
      </c>
      <c r="H536" s="1" t="s">
        <v>25</v>
      </c>
      <c r="I536" s="1"/>
    </row>
    <row r="537" spans="1:9" x14ac:dyDescent="0.3">
      <c r="A537" s="1" t="s">
        <v>665</v>
      </c>
      <c r="B537" s="1" t="s">
        <v>146</v>
      </c>
      <c r="C537" s="1" t="s">
        <v>121</v>
      </c>
      <c r="D537" s="1" t="s">
        <v>109</v>
      </c>
      <c r="E537" s="1" t="s">
        <v>22</v>
      </c>
      <c r="F537" s="1" t="s">
        <v>123</v>
      </c>
      <c r="G537" s="1" t="s">
        <v>104</v>
      </c>
      <c r="H537" s="1" t="s">
        <v>25</v>
      </c>
      <c r="I537" s="1"/>
    </row>
    <row r="538" spans="1:9" x14ac:dyDescent="0.3">
      <c r="A538" s="1" t="s">
        <v>666</v>
      </c>
      <c r="B538" s="1" t="s">
        <v>140</v>
      </c>
      <c r="C538" s="1" t="s">
        <v>124</v>
      </c>
      <c r="D538" s="1" t="s">
        <v>94</v>
      </c>
      <c r="E538" s="1" t="s">
        <v>49</v>
      </c>
      <c r="F538" s="1" t="s">
        <v>80</v>
      </c>
      <c r="G538" s="1" t="s">
        <v>145</v>
      </c>
      <c r="H538" s="1" t="s">
        <v>25</v>
      </c>
      <c r="I538" s="1"/>
    </row>
    <row r="539" spans="1:9" x14ac:dyDescent="0.3">
      <c r="A539" s="1" t="s">
        <v>667</v>
      </c>
      <c r="B539" s="1" t="s">
        <v>140</v>
      </c>
      <c r="C539" s="1" t="s">
        <v>149</v>
      </c>
      <c r="D539" s="1" t="s">
        <v>98</v>
      </c>
      <c r="E539" s="1" t="s">
        <v>38</v>
      </c>
      <c r="F539" s="1" t="s">
        <v>106</v>
      </c>
      <c r="G539" s="1" t="s">
        <v>157</v>
      </c>
      <c r="H539" s="1" t="s">
        <v>25</v>
      </c>
      <c r="I539" s="1"/>
    </row>
    <row r="540" spans="1:9" x14ac:dyDescent="0.3">
      <c r="A540" s="1" t="s">
        <v>668</v>
      </c>
      <c r="B540" s="1" t="s">
        <v>140</v>
      </c>
      <c r="C540" s="1" t="s">
        <v>121</v>
      </c>
      <c r="D540" s="1" t="s">
        <v>98</v>
      </c>
      <c r="E540" s="1" t="s">
        <v>26</v>
      </c>
      <c r="F540" s="1" t="s">
        <v>123</v>
      </c>
      <c r="G540" s="1" t="s">
        <v>129</v>
      </c>
      <c r="H540" s="1" t="s">
        <v>25</v>
      </c>
      <c r="I540" s="1"/>
    </row>
    <row r="541" spans="1:9" x14ac:dyDescent="0.3">
      <c r="A541" s="1" t="s">
        <v>669</v>
      </c>
      <c r="B541" s="1" t="s">
        <v>137</v>
      </c>
      <c r="C541" s="1" t="s">
        <v>154</v>
      </c>
      <c r="D541" s="1" t="s">
        <v>114</v>
      </c>
      <c r="E541" s="1" t="s">
        <v>41</v>
      </c>
      <c r="F541" s="1" t="s">
        <v>139</v>
      </c>
      <c r="G541" s="1" t="s">
        <v>152</v>
      </c>
      <c r="H541" s="1" t="s">
        <v>25</v>
      </c>
      <c r="I541" s="1"/>
    </row>
    <row r="542" spans="1:9" x14ac:dyDescent="0.3">
      <c r="A542" s="1" t="s">
        <v>670</v>
      </c>
      <c r="B542" s="1" t="s">
        <v>172</v>
      </c>
      <c r="C542" s="1" t="s">
        <v>133</v>
      </c>
      <c r="D542" s="1" t="s">
        <v>51</v>
      </c>
      <c r="E542" s="1" t="s">
        <v>34</v>
      </c>
      <c r="F542" s="1" t="s">
        <v>160</v>
      </c>
      <c r="G542" s="1" t="s">
        <v>75</v>
      </c>
      <c r="H542" s="1" t="s">
        <v>25</v>
      </c>
      <c r="I542" s="1"/>
    </row>
    <row r="543" spans="1:9" x14ac:dyDescent="0.3">
      <c r="A543" s="1" t="s">
        <v>671</v>
      </c>
      <c r="B543" s="1" t="s">
        <v>146</v>
      </c>
      <c r="C543" s="1" t="s">
        <v>144</v>
      </c>
      <c r="D543" s="1" t="s">
        <v>51</v>
      </c>
      <c r="E543" s="1" t="s">
        <v>38</v>
      </c>
      <c r="F543" s="1" t="s">
        <v>274</v>
      </c>
      <c r="G543" s="1" t="s">
        <v>298</v>
      </c>
      <c r="H543" s="1" t="s">
        <v>25</v>
      </c>
      <c r="I543" s="1"/>
    </row>
    <row r="544" spans="1:9" x14ac:dyDescent="0.3">
      <c r="A544" s="1" t="s">
        <v>672</v>
      </c>
      <c r="B544" s="1" t="s">
        <v>140</v>
      </c>
      <c r="C544" s="1" t="s">
        <v>176</v>
      </c>
      <c r="D544" s="1" t="s">
        <v>94</v>
      </c>
      <c r="E544" s="1" t="s">
        <v>29</v>
      </c>
      <c r="F544" s="1" t="s">
        <v>266</v>
      </c>
      <c r="G544" s="1" t="s">
        <v>147</v>
      </c>
      <c r="H544" s="1" t="s">
        <v>25</v>
      </c>
      <c r="I544" s="1"/>
    </row>
    <row r="545" spans="1:9" x14ac:dyDescent="0.3">
      <c r="A545" s="1" t="s">
        <v>673</v>
      </c>
      <c r="B545" s="1" t="s">
        <v>172</v>
      </c>
      <c r="C545" s="1" t="s">
        <v>328</v>
      </c>
      <c r="D545" s="1" t="s">
        <v>114</v>
      </c>
      <c r="E545" s="1" t="s">
        <v>32</v>
      </c>
      <c r="F545" s="1" t="s">
        <v>211</v>
      </c>
      <c r="G545" s="1" t="s">
        <v>73</v>
      </c>
      <c r="H545" s="1" t="s">
        <v>25</v>
      </c>
      <c r="I545" s="1"/>
    </row>
    <row r="546" spans="1:9" x14ac:dyDescent="0.3">
      <c r="A546" s="1" t="s">
        <v>674</v>
      </c>
      <c r="B546" s="1" t="s">
        <v>140</v>
      </c>
      <c r="C546" s="1" t="s">
        <v>176</v>
      </c>
      <c r="D546" s="1" t="s">
        <v>94</v>
      </c>
      <c r="E546" s="1" t="s">
        <v>18</v>
      </c>
      <c r="F546" s="1" t="s">
        <v>187</v>
      </c>
      <c r="G546" s="1" t="s">
        <v>150</v>
      </c>
      <c r="H546" s="1" t="s">
        <v>25</v>
      </c>
      <c r="I546" s="1"/>
    </row>
    <row r="547" spans="1:9" x14ac:dyDescent="0.3">
      <c r="A547" s="1" t="s">
        <v>675</v>
      </c>
      <c r="B547" s="1" t="s">
        <v>172</v>
      </c>
      <c r="C547" s="1" t="s">
        <v>177</v>
      </c>
      <c r="D547" s="1" t="s">
        <v>114</v>
      </c>
      <c r="E547" s="1" t="s">
        <v>38</v>
      </c>
      <c r="F547" s="1" t="s">
        <v>105</v>
      </c>
      <c r="G547" s="1" t="s">
        <v>113</v>
      </c>
      <c r="H547" s="1" t="s">
        <v>25</v>
      </c>
      <c r="I547" s="1"/>
    </row>
    <row r="548" spans="1:9" x14ac:dyDescent="0.3">
      <c r="A548" s="1" t="s">
        <v>676</v>
      </c>
      <c r="B548" s="1" t="s">
        <v>140</v>
      </c>
      <c r="C548" s="1" t="s">
        <v>177</v>
      </c>
      <c r="D548" s="1" t="s">
        <v>98</v>
      </c>
      <c r="E548" s="1" t="s">
        <v>22</v>
      </c>
      <c r="F548" s="1" t="s">
        <v>30</v>
      </c>
      <c r="G548" s="1" t="s">
        <v>71</v>
      </c>
      <c r="H548" s="1" t="s">
        <v>25</v>
      </c>
      <c r="I548" s="1"/>
    </row>
    <row r="549" spans="1:9" x14ac:dyDescent="0.3">
      <c r="A549" s="1" t="s">
        <v>677</v>
      </c>
      <c r="B549" s="1" t="s">
        <v>172</v>
      </c>
      <c r="C549" s="1" t="s">
        <v>170</v>
      </c>
      <c r="D549" s="1" t="s">
        <v>51</v>
      </c>
      <c r="E549" s="1" t="s">
        <v>22</v>
      </c>
      <c r="F549" s="1" t="s">
        <v>89</v>
      </c>
      <c r="G549" s="1" t="s">
        <v>53</v>
      </c>
      <c r="H549" s="1" t="s">
        <v>25</v>
      </c>
      <c r="I549" s="1"/>
    </row>
    <row r="550" spans="1:9" x14ac:dyDescent="0.3">
      <c r="A550" s="1" t="s">
        <v>678</v>
      </c>
      <c r="B550" s="1" t="s">
        <v>140</v>
      </c>
      <c r="C550" s="1" t="s">
        <v>173</v>
      </c>
      <c r="D550" s="1" t="s">
        <v>56</v>
      </c>
      <c r="E550" s="1" t="s">
        <v>22</v>
      </c>
      <c r="F550" s="1" t="s">
        <v>38</v>
      </c>
      <c r="G550" s="1" t="s">
        <v>43</v>
      </c>
      <c r="H550" s="1" t="s">
        <v>25</v>
      </c>
      <c r="I550" s="1"/>
    </row>
    <row r="551" spans="1:9" x14ac:dyDescent="0.3">
      <c r="A551" s="1" t="s">
        <v>679</v>
      </c>
      <c r="B551" s="1" t="s">
        <v>137</v>
      </c>
      <c r="C551" s="1" t="s">
        <v>173</v>
      </c>
      <c r="D551" s="1" t="s">
        <v>114</v>
      </c>
      <c r="E551" s="1" t="s">
        <v>37</v>
      </c>
      <c r="F551" s="1" t="s">
        <v>32</v>
      </c>
      <c r="G551" s="1" t="s">
        <v>32</v>
      </c>
      <c r="H551" s="1" t="s">
        <v>25</v>
      </c>
      <c r="I551" s="1"/>
    </row>
    <row r="552" spans="1:9" x14ac:dyDescent="0.3">
      <c r="A552" s="1" t="s">
        <v>680</v>
      </c>
      <c r="B552" s="1" t="s">
        <v>172</v>
      </c>
      <c r="C552" s="1" t="s">
        <v>173</v>
      </c>
      <c r="D552" s="1" t="s">
        <v>98</v>
      </c>
      <c r="E552" s="1" t="s">
        <v>37</v>
      </c>
      <c r="F552" s="1" t="s">
        <v>26</v>
      </c>
      <c r="G552" s="1" t="s">
        <v>26</v>
      </c>
      <c r="H552" s="1" t="s">
        <v>25</v>
      </c>
      <c r="I552" s="1"/>
    </row>
    <row r="553" spans="1:9" x14ac:dyDescent="0.3">
      <c r="A553" s="1" t="s">
        <v>681</v>
      </c>
      <c r="B553" s="1" t="s">
        <v>137</v>
      </c>
      <c r="C553" s="1" t="s">
        <v>179</v>
      </c>
      <c r="D553" s="1" t="s">
        <v>167</v>
      </c>
      <c r="E553" s="1" t="s">
        <v>37</v>
      </c>
      <c r="F553" s="1" t="s">
        <v>18</v>
      </c>
      <c r="G553" s="1" t="s">
        <v>18</v>
      </c>
      <c r="H553" s="1" t="s">
        <v>25</v>
      </c>
      <c r="I553" s="1"/>
    </row>
    <row r="554" spans="1:9" x14ac:dyDescent="0.3">
      <c r="A554" s="1" t="s">
        <v>682</v>
      </c>
      <c r="B554" s="1" t="s">
        <v>140</v>
      </c>
      <c r="C554" s="1" t="s">
        <v>179</v>
      </c>
      <c r="D554" s="1" t="s">
        <v>98</v>
      </c>
      <c r="E554" s="1" t="s">
        <v>37</v>
      </c>
      <c r="F554" s="1" t="s">
        <v>43</v>
      </c>
      <c r="G554" s="1" t="s">
        <v>43</v>
      </c>
      <c r="H554" s="1" t="s">
        <v>25</v>
      </c>
      <c r="I554" s="1"/>
    </row>
    <row r="555" spans="1:9" x14ac:dyDescent="0.3">
      <c r="A555" s="1" t="s">
        <v>683</v>
      </c>
      <c r="B555" s="1" t="s">
        <v>153</v>
      </c>
      <c r="C555" s="1" t="s">
        <v>179</v>
      </c>
      <c r="D555" s="1" t="s">
        <v>167</v>
      </c>
      <c r="E555" s="1" t="s">
        <v>18</v>
      </c>
      <c r="F555" s="1" t="s">
        <v>71</v>
      </c>
      <c r="G555" s="1" t="s">
        <v>54</v>
      </c>
      <c r="H555" s="1" t="s">
        <v>25</v>
      </c>
      <c r="I555" s="1"/>
    </row>
    <row r="556" spans="1:9" x14ac:dyDescent="0.3">
      <c r="A556" s="1" t="s">
        <v>684</v>
      </c>
      <c r="B556" s="1" t="s">
        <v>172</v>
      </c>
      <c r="C556" s="1" t="s">
        <v>179</v>
      </c>
      <c r="D556" s="1" t="s">
        <v>98</v>
      </c>
      <c r="E556" s="1" t="s">
        <v>32</v>
      </c>
      <c r="F556" s="1" t="s">
        <v>215</v>
      </c>
      <c r="G556" s="1" t="s">
        <v>221</v>
      </c>
      <c r="H556" s="1" t="s">
        <v>25</v>
      </c>
      <c r="I556" s="1"/>
    </row>
    <row r="557" spans="1:9" x14ac:dyDescent="0.3">
      <c r="A557" s="1" t="s">
        <v>685</v>
      </c>
      <c r="B557" s="1" t="s">
        <v>153</v>
      </c>
      <c r="C557" s="1" t="s">
        <v>179</v>
      </c>
      <c r="D557" s="1" t="s">
        <v>109</v>
      </c>
      <c r="E557" s="1" t="s">
        <v>32</v>
      </c>
      <c r="F557" s="1" t="s">
        <v>345</v>
      </c>
      <c r="G557" s="1" t="s">
        <v>350</v>
      </c>
      <c r="H557" s="1" t="s">
        <v>25</v>
      </c>
      <c r="I557" s="1"/>
    </row>
    <row r="558" spans="1:9" x14ac:dyDescent="0.3">
      <c r="A558" s="1" t="s">
        <v>686</v>
      </c>
      <c r="B558" s="1" t="s">
        <v>130</v>
      </c>
      <c r="C558" s="1" t="s">
        <v>170</v>
      </c>
      <c r="D558" s="1" t="s">
        <v>40</v>
      </c>
      <c r="E558" s="1" t="s">
        <v>36</v>
      </c>
      <c r="F558" s="1" t="s">
        <v>255</v>
      </c>
      <c r="G558" s="1" t="s">
        <v>265</v>
      </c>
      <c r="H558" s="1" t="s">
        <v>25</v>
      </c>
      <c r="I558" s="1"/>
    </row>
    <row r="559" spans="1:9" x14ac:dyDescent="0.3">
      <c r="A559" s="1" t="s">
        <v>687</v>
      </c>
      <c r="B559" s="1" t="s">
        <v>158</v>
      </c>
      <c r="C559" s="1" t="s">
        <v>557</v>
      </c>
      <c r="D559" s="1" t="s">
        <v>167</v>
      </c>
      <c r="E559" s="1" t="s">
        <v>38</v>
      </c>
      <c r="F559" s="1" t="s">
        <v>136</v>
      </c>
      <c r="G559" s="1" t="s">
        <v>63</v>
      </c>
      <c r="H559" s="1" t="s">
        <v>25</v>
      </c>
      <c r="I559" s="1"/>
    </row>
    <row r="560" spans="1:9" x14ac:dyDescent="0.3">
      <c r="A560" s="1" t="s">
        <v>688</v>
      </c>
      <c r="B560" s="1" t="s">
        <v>158</v>
      </c>
      <c r="C560" s="1" t="s">
        <v>557</v>
      </c>
      <c r="D560" s="1" t="s">
        <v>109</v>
      </c>
      <c r="E560" s="1" t="s">
        <v>38</v>
      </c>
      <c r="F560" s="1" t="s">
        <v>63</v>
      </c>
      <c r="G560" s="1" t="s">
        <v>156</v>
      </c>
      <c r="H560" s="1" t="s">
        <v>25</v>
      </c>
      <c r="I560" s="1"/>
    </row>
    <row r="561" spans="1:9" x14ac:dyDescent="0.3">
      <c r="A561" s="1" t="s">
        <v>689</v>
      </c>
      <c r="B561" s="1" t="s">
        <v>19</v>
      </c>
      <c r="C561" s="1" t="s">
        <v>190</v>
      </c>
      <c r="D561" s="1" t="s">
        <v>40</v>
      </c>
      <c r="E561" s="1" t="s">
        <v>89</v>
      </c>
      <c r="F561" s="1" t="s">
        <v>194</v>
      </c>
      <c r="G561" s="1" t="s">
        <v>73</v>
      </c>
      <c r="H561" s="1" t="s">
        <v>25</v>
      </c>
      <c r="I561" s="1"/>
    </row>
    <row r="562" spans="1:9" x14ac:dyDescent="0.3">
      <c r="A562" s="1" t="s">
        <v>690</v>
      </c>
      <c r="B562" s="1" t="s">
        <v>27</v>
      </c>
      <c r="C562" s="1" t="s">
        <v>190</v>
      </c>
      <c r="D562" s="1" t="s">
        <v>109</v>
      </c>
      <c r="E562" s="1" t="s">
        <v>89</v>
      </c>
      <c r="F562" s="1" t="s">
        <v>162</v>
      </c>
      <c r="G562" s="1" t="s">
        <v>81</v>
      </c>
      <c r="H562" s="1" t="s">
        <v>25</v>
      </c>
      <c r="I562" s="1"/>
    </row>
    <row r="563" spans="1:9" x14ac:dyDescent="0.3">
      <c r="A563" s="1" t="s">
        <v>691</v>
      </c>
      <c r="B563" s="1" t="s">
        <v>55</v>
      </c>
      <c r="C563" s="1" t="s">
        <v>458</v>
      </c>
      <c r="D563" s="1" t="s">
        <v>21</v>
      </c>
      <c r="E563" s="1" t="s">
        <v>49</v>
      </c>
      <c r="F563" s="1" t="s">
        <v>152</v>
      </c>
      <c r="G563" s="1" t="s">
        <v>171</v>
      </c>
      <c r="H563" s="1" t="s">
        <v>25</v>
      </c>
      <c r="I563" s="1"/>
    </row>
    <row r="564" spans="1:9" x14ac:dyDescent="0.3">
      <c r="A564" s="1" t="s">
        <v>692</v>
      </c>
      <c r="B564" s="1" t="s">
        <v>46</v>
      </c>
      <c r="C564" s="1" t="s">
        <v>124</v>
      </c>
      <c r="D564" s="1" t="s">
        <v>21</v>
      </c>
      <c r="E564" s="1" t="s">
        <v>89</v>
      </c>
      <c r="F564" s="1" t="s">
        <v>145</v>
      </c>
      <c r="G564" s="1" t="s">
        <v>64</v>
      </c>
      <c r="H564" s="1" t="s">
        <v>25</v>
      </c>
      <c r="I564" s="1"/>
    </row>
    <row r="565" spans="1:9" x14ac:dyDescent="0.3">
      <c r="A565" s="1" t="s">
        <v>693</v>
      </c>
      <c r="B565" s="1" t="s">
        <v>46</v>
      </c>
      <c r="C565" s="1" t="s">
        <v>124</v>
      </c>
      <c r="D565" s="1" t="s">
        <v>21</v>
      </c>
      <c r="E565" s="1" t="s">
        <v>48</v>
      </c>
      <c r="F565" s="1" t="s">
        <v>169</v>
      </c>
      <c r="G565" s="1" t="s">
        <v>233</v>
      </c>
      <c r="H565" s="1" t="s">
        <v>25</v>
      </c>
      <c r="I565" s="1"/>
    </row>
    <row r="566" spans="1:9" x14ac:dyDescent="0.3">
      <c r="A566" s="1" t="s">
        <v>694</v>
      </c>
      <c r="B566" s="1" t="s">
        <v>55</v>
      </c>
      <c r="C566" s="1" t="s">
        <v>458</v>
      </c>
      <c r="D566" s="1" t="s">
        <v>21</v>
      </c>
      <c r="E566" s="1" t="s">
        <v>48</v>
      </c>
      <c r="F566" s="1" t="s">
        <v>323</v>
      </c>
      <c r="G566" s="1" t="s">
        <v>334</v>
      </c>
      <c r="H566" s="1" t="s">
        <v>25</v>
      </c>
      <c r="I566" s="1"/>
    </row>
    <row r="567" spans="1:9" x14ac:dyDescent="0.3">
      <c r="A567" s="1" t="s">
        <v>695</v>
      </c>
      <c r="B567" s="1" t="s">
        <v>222</v>
      </c>
      <c r="C567" s="1" t="s">
        <v>195</v>
      </c>
      <c r="D567" s="1" t="s">
        <v>40</v>
      </c>
      <c r="E567" s="1" t="s">
        <v>41</v>
      </c>
      <c r="F567" s="1" t="s">
        <v>331</v>
      </c>
      <c r="G567" s="1" t="s">
        <v>337</v>
      </c>
      <c r="H567" s="1" t="s">
        <v>25</v>
      </c>
      <c r="I567" s="1"/>
    </row>
    <row r="568" spans="1:9" x14ac:dyDescent="0.3">
      <c r="A568" s="1" t="s">
        <v>696</v>
      </c>
      <c r="B568" s="1" t="s">
        <v>39</v>
      </c>
      <c r="C568" s="1" t="s">
        <v>575</v>
      </c>
      <c r="D568" s="1" t="s">
        <v>114</v>
      </c>
      <c r="E568" s="1" t="s">
        <v>23</v>
      </c>
      <c r="F568" s="1" t="s">
        <v>253</v>
      </c>
      <c r="G568" s="1" t="s">
        <v>164</v>
      </c>
      <c r="H568" s="1" t="s">
        <v>25</v>
      </c>
      <c r="I568" s="1"/>
    </row>
    <row r="569" spans="1:9" x14ac:dyDescent="0.3">
      <c r="A569" s="1" t="s">
        <v>697</v>
      </c>
      <c r="B569" s="1" t="s">
        <v>130</v>
      </c>
      <c r="C569" s="1" t="s">
        <v>575</v>
      </c>
      <c r="D569" s="1" t="s">
        <v>94</v>
      </c>
      <c r="E569" s="1" t="s">
        <v>24</v>
      </c>
      <c r="F569" s="1" t="s">
        <v>215</v>
      </c>
      <c r="G569" s="1" t="s">
        <v>236</v>
      </c>
      <c r="H569" s="1" t="s">
        <v>25</v>
      </c>
      <c r="I569" s="1"/>
    </row>
    <row r="570" spans="1:9" x14ac:dyDescent="0.3">
      <c r="A570" s="1" t="s">
        <v>698</v>
      </c>
      <c r="B570" s="1" t="s">
        <v>130</v>
      </c>
      <c r="C570" s="1" t="s">
        <v>575</v>
      </c>
      <c r="D570" s="1" t="s">
        <v>94</v>
      </c>
      <c r="E570" s="1" t="s">
        <v>32</v>
      </c>
      <c r="F570" s="1" t="s">
        <v>31</v>
      </c>
      <c r="G570" s="1" t="s">
        <v>129</v>
      </c>
      <c r="H570" s="1" t="s">
        <v>25</v>
      </c>
      <c r="I570" s="1"/>
    </row>
    <row r="571" spans="1:9" x14ac:dyDescent="0.3">
      <c r="A571" s="1" t="s">
        <v>699</v>
      </c>
      <c r="B571" s="1" t="s">
        <v>130</v>
      </c>
      <c r="C571" s="1" t="s">
        <v>170</v>
      </c>
      <c r="D571" s="1" t="s">
        <v>114</v>
      </c>
      <c r="E571" s="1" t="s">
        <v>34</v>
      </c>
      <c r="F571" s="1" t="s">
        <v>136</v>
      </c>
      <c r="G571" s="1" t="s">
        <v>105</v>
      </c>
      <c r="H571" s="1" t="s">
        <v>25</v>
      </c>
      <c r="I571" s="1"/>
    </row>
    <row r="572" spans="1:9" x14ac:dyDescent="0.3">
      <c r="A572" s="1" t="s">
        <v>700</v>
      </c>
      <c r="B572" s="1" t="s">
        <v>130</v>
      </c>
      <c r="C572" s="1" t="s">
        <v>170</v>
      </c>
      <c r="D572" s="1" t="s">
        <v>114</v>
      </c>
      <c r="E572" s="1" t="s">
        <v>22</v>
      </c>
      <c r="F572" s="1" t="s">
        <v>88</v>
      </c>
      <c r="G572" s="1" t="s">
        <v>31</v>
      </c>
      <c r="H572" s="1" t="s">
        <v>25</v>
      </c>
      <c r="I572" s="1"/>
    </row>
    <row r="573" spans="1:9" x14ac:dyDescent="0.3">
      <c r="A573" s="1" t="s">
        <v>701</v>
      </c>
      <c r="B573" s="1" t="s">
        <v>130</v>
      </c>
      <c r="C573" s="1" t="s">
        <v>173</v>
      </c>
      <c r="D573" s="1" t="s">
        <v>109</v>
      </c>
      <c r="E573" s="1" t="s">
        <v>22</v>
      </c>
      <c r="F573" s="1" t="s">
        <v>48</v>
      </c>
      <c r="G573" s="1" t="s">
        <v>77</v>
      </c>
      <c r="H573" s="1" t="s">
        <v>25</v>
      </c>
      <c r="I573" s="1"/>
    </row>
    <row r="574" spans="1:9" x14ac:dyDescent="0.3">
      <c r="A574" s="1" t="s">
        <v>702</v>
      </c>
      <c r="B574" s="1" t="s">
        <v>158</v>
      </c>
      <c r="C574" s="1" t="s">
        <v>575</v>
      </c>
      <c r="D574" s="1" t="s">
        <v>109</v>
      </c>
      <c r="E574" s="1" t="s">
        <v>37</v>
      </c>
      <c r="F574" s="1" t="s">
        <v>32</v>
      </c>
      <c r="G574" s="1" t="s">
        <v>32</v>
      </c>
      <c r="H574" s="1" t="s">
        <v>25</v>
      </c>
      <c r="I574" s="1"/>
    </row>
    <row r="575" spans="1:9" x14ac:dyDescent="0.3">
      <c r="A575" s="1" t="s">
        <v>703</v>
      </c>
      <c r="B575" s="1" t="s">
        <v>130</v>
      </c>
      <c r="C575" s="1" t="s">
        <v>173</v>
      </c>
      <c r="D575" s="1" t="s">
        <v>94</v>
      </c>
      <c r="E575" s="1" t="s">
        <v>22</v>
      </c>
      <c r="F575" s="1" t="s">
        <v>41</v>
      </c>
      <c r="G575" s="1" t="s">
        <v>36</v>
      </c>
      <c r="H575" s="1" t="s">
        <v>25</v>
      </c>
      <c r="I575" s="1"/>
    </row>
    <row r="576" spans="1:9" x14ac:dyDescent="0.3">
      <c r="A576" s="1" t="s">
        <v>704</v>
      </c>
      <c r="B576" s="1" t="s">
        <v>153</v>
      </c>
      <c r="C576" s="1" t="s">
        <v>42</v>
      </c>
      <c r="D576" s="1" t="s">
        <v>56</v>
      </c>
      <c r="E576" s="1" t="s">
        <v>37</v>
      </c>
      <c r="F576" s="1" t="s">
        <v>18</v>
      </c>
      <c r="G576" s="1" t="s">
        <v>18</v>
      </c>
      <c r="H576" s="1" t="s">
        <v>25</v>
      </c>
      <c r="I576" s="1"/>
    </row>
    <row r="577" spans="1:9" x14ac:dyDescent="0.3">
      <c r="A577" s="1" t="s">
        <v>705</v>
      </c>
      <c r="B577" s="1" t="s">
        <v>153</v>
      </c>
      <c r="C577" s="1" t="s">
        <v>42</v>
      </c>
      <c r="D577" s="1" t="s">
        <v>56</v>
      </c>
      <c r="E577" s="1" t="s">
        <v>37</v>
      </c>
      <c r="F577" s="1" t="s">
        <v>29</v>
      </c>
      <c r="G577" s="1" t="s">
        <v>29</v>
      </c>
      <c r="H577" s="1" t="s">
        <v>25</v>
      </c>
      <c r="I577" s="1"/>
    </row>
    <row r="578" spans="1:9" x14ac:dyDescent="0.3">
      <c r="A578" s="1" t="s">
        <v>706</v>
      </c>
      <c r="B578" s="1" t="s">
        <v>132</v>
      </c>
      <c r="C578" s="1" t="s">
        <v>91</v>
      </c>
      <c r="D578" s="1" t="s">
        <v>67</v>
      </c>
      <c r="E578" s="1" t="s">
        <v>18</v>
      </c>
      <c r="F578" s="1" t="s">
        <v>62</v>
      </c>
      <c r="G578" s="1" t="s">
        <v>58</v>
      </c>
      <c r="H578" s="1" t="s">
        <v>25</v>
      </c>
      <c r="I578" s="1"/>
    </row>
    <row r="579" spans="1:9" x14ac:dyDescent="0.3">
      <c r="A579" s="1" t="s">
        <v>707</v>
      </c>
      <c r="B579" s="1" t="s">
        <v>132</v>
      </c>
      <c r="C579" s="1" t="s">
        <v>91</v>
      </c>
      <c r="D579" s="1" t="s">
        <v>67</v>
      </c>
      <c r="E579" s="1" t="s">
        <v>22</v>
      </c>
      <c r="F579" s="1" t="s">
        <v>174</v>
      </c>
      <c r="G579" s="1" t="s">
        <v>162</v>
      </c>
      <c r="H579" s="1" t="s">
        <v>25</v>
      </c>
      <c r="I579" s="1"/>
    </row>
    <row r="580" spans="1:9" x14ac:dyDescent="0.3">
      <c r="A580" s="1" t="s">
        <v>708</v>
      </c>
      <c r="B580" s="1" t="s">
        <v>132</v>
      </c>
      <c r="C580" s="1" t="s">
        <v>91</v>
      </c>
      <c r="D580" s="1" t="s">
        <v>67</v>
      </c>
      <c r="E580" s="1" t="s">
        <v>22</v>
      </c>
      <c r="F580" s="1" t="s">
        <v>63</v>
      </c>
      <c r="G580" s="1" t="s">
        <v>118</v>
      </c>
      <c r="H580" s="1" t="s">
        <v>25</v>
      </c>
      <c r="I580" s="1"/>
    </row>
    <row r="581" spans="1:9" x14ac:dyDescent="0.3">
      <c r="A581" s="1" t="s">
        <v>709</v>
      </c>
      <c r="B581" s="1" t="s">
        <v>132</v>
      </c>
      <c r="C581" s="1" t="s">
        <v>286</v>
      </c>
      <c r="D581" s="1" t="s">
        <v>56</v>
      </c>
      <c r="E581" s="1" t="s">
        <v>26</v>
      </c>
      <c r="F581" s="1" t="s">
        <v>57</v>
      </c>
      <c r="G581" s="1" t="s">
        <v>99</v>
      </c>
      <c r="H581" s="1" t="s">
        <v>25</v>
      </c>
      <c r="I581" s="1"/>
    </row>
    <row r="582" spans="1:9" x14ac:dyDescent="0.3">
      <c r="A582" s="1" t="s">
        <v>710</v>
      </c>
      <c r="B582" s="1" t="s">
        <v>135</v>
      </c>
      <c r="C582" s="1" t="s">
        <v>286</v>
      </c>
      <c r="D582" s="1" t="s">
        <v>122</v>
      </c>
      <c r="E582" s="1" t="s">
        <v>38</v>
      </c>
      <c r="F582" s="1" t="s">
        <v>71</v>
      </c>
      <c r="G582" s="1" t="s">
        <v>79</v>
      </c>
      <c r="H582" s="1" t="s">
        <v>25</v>
      </c>
      <c r="I582" s="1"/>
    </row>
    <row r="583" spans="1:9" x14ac:dyDescent="0.3">
      <c r="A583" s="1" t="s">
        <v>711</v>
      </c>
      <c r="B583" s="1" t="s">
        <v>135</v>
      </c>
      <c r="C583" s="1" t="s">
        <v>286</v>
      </c>
      <c r="D583" s="1" t="s">
        <v>122</v>
      </c>
      <c r="E583" s="1" t="s">
        <v>41</v>
      </c>
      <c r="F583" s="1" t="s">
        <v>79</v>
      </c>
      <c r="G583" s="1" t="s">
        <v>134</v>
      </c>
      <c r="H583" s="1" t="s">
        <v>25</v>
      </c>
      <c r="I583" s="1"/>
    </row>
    <row r="584" spans="1:9" x14ac:dyDescent="0.3">
      <c r="A584" s="1" t="s">
        <v>712</v>
      </c>
      <c r="B584" s="1" t="s">
        <v>135</v>
      </c>
      <c r="C584" s="1" t="s">
        <v>286</v>
      </c>
      <c r="D584" s="1" t="s">
        <v>122</v>
      </c>
      <c r="E584" s="1" t="s">
        <v>34</v>
      </c>
      <c r="F584" s="1" t="s">
        <v>123</v>
      </c>
      <c r="G584" s="1" t="s">
        <v>68</v>
      </c>
      <c r="H584" s="1" t="s">
        <v>25</v>
      </c>
      <c r="I584" s="1"/>
    </row>
    <row r="585" spans="1:9" x14ac:dyDescent="0.3">
      <c r="A585" s="1" t="s">
        <v>713</v>
      </c>
      <c r="B585" s="1" t="s">
        <v>135</v>
      </c>
      <c r="C585" s="1" t="s">
        <v>286</v>
      </c>
      <c r="D585" s="1" t="s">
        <v>128</v>
      </c>
      <c r="E585" s="1" t="s">
        <v>37</v>
      </c>
      <c r="F585" s="1" t="s">
        <v>54</v>
      </c>
      <c r="G585" s="1" t="s">
        <v>54</v>
      </c>
      <c r="H585" s="1" t="s">
        <v>25</v>
      </c>
      <c r="I585" s="1"/>
    </row>
    <row r="586" spans="1:9" x14ac:dyDescent="0.3">
      <c r="A586" s="1" t="s">
        <v>714</v>
      </c>
      <c r="B586" s="1" t="s">
        <v>153</v>
      </c>
      <c r="C586" s="1" t="s">
        <v>286</v>
      </c>
      <c r="D586" s="1" t="s">
        <v>302</v>
      </c>
      <c r="E586" s="1" t="s">
        <v>18</v>
      </c>
      <c r="F586" s="1" t="s">
        <v>120</v>
      </c>
      <c r="G586" s="1" t="s">
        <v>123</v>
      </c>
      <c r="H586" s="1" t="s">
        <v>25</v>
      </c>
      <c r="I586" s="1"/>
    </row>
    <row r="587" spans="1:9" x14ac:dyDescent="0.3">
      <c r="A587" s="1" t="s">
        <v>715</v>
      </c>
      <c r="B587" s="1" t="s">
        <v>135</v>
      </c>
      <c r="C587" s="1" t="s">
        <v>286</v>
      </c>
      <c r="D587" s="1" t="s">
        <v>122</v>
      </c>
      <c r="E587" s="1" t="s">
        <v>18</v>
      </c>
      <c r="F587" s="1" t="s">
        <v>71</v>
      </c>
      <c r="G587" s="1" t="s">
        <v>54</v>
      </c>
      <c r="H587" s="1" t="s">
        <v>25</v>
      </c>
      <c r="I587" s="1"/>
    </row>
    <row r="588" spans="1:9" x14ac:dyDescent="0.3">
      <c r="A588" s="1" t="s">
        <v>716</v>
      </c>
      <c r="B588" s="1" t="s">
        <v>153</v>
      </c>
      <c r="C588" s="1" t="s">
        <v>286</v>
      </c>
      <c r="D588" s="1" t="s">
        <v>128</v>
      </c>
      <c r="E588" s="1" t="s">
        <v>37</v>
      </c>
      <c r="F588" s="1" t="s">
        <v>57</v>
      </c>
      <c r="G588" s="1" t="s">
        <v>57</v>
      </c>
      <c r="H588" s="1" t="s">
        <v>25</v>
      </c>
      <c r="I588" s="1"/>
    </row>
    <row r="589" spans="1:9" x14ac:dyDescent="0.3">
      <c r="A589" s="1" t="s">
        <v>717</v>
      </c>
      <c r="B589" s="1" t="s">
        <v>130</v>
      </c>
      <c r="C589" s="1" t="s">
        <v>175</v>
      </c>
      <c r="D589" s="1" t="s">
        <v>94</v>
      </c>
      <c r="E589" s="1" t="s">
        <v>18</v>
      </c>
      <c r="F589" s="1" t="s">
        <v>96</v>
      </c>
      <c r="G589" s="1" t="s">
        <v>53</v>
      </c>
      <c r="H589" s="1" t="s">
        <v>25</v>
      </c>
      <c r="I589" s="1"/>
    </row>
    <row r="590" spans="1:9" x14ac:dyDescent="0.3">
      <c r="A590" s="1" t="s">
        <v>718</v>
      </c>
      <c r="B590" s="1" t="s">
        <v>158</v>
      </c>
      <c r="C590" s="1" t="s">
        <v>175</v>
      </c>
      <c r="D590" s="1" t="s">
        <v>167</v>
      </c>
      <c r="E590" s="1" t="s">
        <v>26</v>
      </c>
      <c r="F590" s="1" t="s">
        <v>189</v>
      </c>
      <c r="G590" s="1" t="s">
        <v>64</v>
      </c>
      <c r="H590" s="1" t="s">
        <v>25</v>
      </c>
      <c r="I590" s="1"/>
    </row>
    <row r="591" spans="1:9" x14ac:dyDescent="0.3">
      <c r="A591" s="1" t="s">
        <v>719</v>
      </c>
      <c r="B591" s="1" t="s">
        <v>130</v>
      </c>
      <c r="C591" s="1" t="s">
        <v>173</v>
      </c>
      <c r="D591" s="1" t="s">
        <v>40</v>
      </c>
      <c r="E591" s="1" t="s">
        <v>22</v>
      </c>
      <c r="F591" s="1" t="s">
        <v>211</v>
      </c>
      <c r="G591" s="1" t="s">
        <v>217</v>
      </c>
      <c r="H591" s="1" t="s">
        <v>25</v>
      </c>
      <c r="I591" s="1"/>
    </row>
    <row r="592" spans="1:9" x14ac:dyDescent="0.3">
      <c r="A592" s="1" t="s">
        <v>720</v>
      </c>
      <c r="B592" s="1" t="s">
        <v>130</v>
      </c>
      <c r="C592" s="1" t="s">
        <v>173</v>
      </c>
      <c r="D592" s="1" t="s">
        <v>40</v>
      </c>
      <c r="E592" s="1" t="s">
        <v>22</v>
      </c>
      <c r="F592" s="1" t="s">
        <v>116</v>
      </c>
      <c r="G592" s="1" t="s">
        <v>186</v>
      </c>
      <c r="H592" s="1" t="s">
        <v>25</v>
      </c>
      <c r="I592" s="1"/>
    </row>
    <row r="593" spans="1:9" x14ac:dyDescent="0.3">
      <c r="A593" s="1" t="s">
        <v>721</v>
      </c>
      <c r="B593" s="1" t="s">
        <v>132</v>
      </c>
      <c r="C593" s="1" t="s">
        <v>179</v>
      </c>
      <c r="D593" s="1" t="s">
        <v>40</v>
      </c>
      <c r="E593" s="1" t="s">
        <v>34</v>
      </c>
      <c r="F593" s="1" t="s">
        <v>63</v>
      </c>
      <c r="G593" s="1" t="s">
        <v>113</v>
      </c>
      <c r="H593" s="1" t="s">
        <v>25</v>
      </c>
      <c r="I593" s="1"/>
    </row>
    <row r="594" spans="1:9" x14ac:dyDescent="0.3">
      <c r="A594" s="1" t="s">
        <v>722</v>
      </c>
      <c r="B594" s="1" t="s">
        <v>132</v>
      </c>
      <c r="C594" s="1" t="s">
        <v>179</v>
      </c>
      <c r="D594" s="1" t="s">
        <v>40</v>
      </c>
      <c r="E594" s="1" t="s">
        <v>26</v>
      </c>
      <c r="F594" s="1" t="s">
        <v>54</v>
      </c>
      <c r="G594" s="1" t="s">
        <v>112</v>
      </c>
      <c r="H594" s="1" t="s">
        <v>25</v>
      </c>
      <c r="I594" s="1"/>
    </row>
    <row r="595" spans="1:9" x14ac:dyDescent="0.3">
      <c r="A595" s="1" t="s">
        <v>723</v>
      </c>
      <c r="B595" s="1" t="s">
        <v>132</v>
      </c>
      <c r="C595" s="1" t="s">
        <v>179</v>
      </c>
      <c r="D595" s="1" t="s">
        <v>40</v>
      </c>
      <c r="E595" s="1" t="s">
        <v>37</v>
      </c>
      <c r="F595" s="1" t="s">
        <v>33</v>
      </c>
      <c r="G595" s="1" t="s">
        <v>33</v>
      </c>
      <c r="H595" s="1" t="s">
        <v>25</v>
      </c>
      <c r="I595" s="1"/>
    </row>
    <row r="596" spans="1:9" x14ac:dyDescent="0.3">
      <c r="A596" s="1" t="s">
        <v>724</v>
      </c>
      <c r="B596" s="1" t="s">
        <v>135</v>
      </c>
      <c r="C596" s="1" t="s">
        <v>28</v>
      </c>
      <c r="D596" s="1" t="s">
        <v>114</v>
      </c>
      <c r="E596" s="1" t="s">
        <v>37</v>
      </c>
      <c r="F596" s="1" t="s">
        <v>24</v>
      </c>
      <c r="G596" s="1" t="s">
        <v>24</v>
      </c>
      <c r="H596" s="1" t="s">
        <v>25</v>
      </c>
      <c r="I596" s="1"/>
    </row>
    <row r="597" spans="1:9" x14ac:dyDescent="0.3">
      <c r="A597" s="1" t="s">
        <v>725</v>
      </c>
      <c r="B597" s="1" t="s">
        <v>132</v>
      </c>
      <c r="C597" s="1" t="s">
        <v>35</v>
      </c>
      <c r="D597" s="1" t="s">
        <v>109</v>
      </c>
      <c r="E597" s="1" t="s">
        <v>37</v>
      </c>
      <c r="F597" s="1" t="s">
        <v>43</v>
      </c>
      <c r="G597" s="1" t="s">
        <v>43</v>
      </c>
      <c r="H597" s="1" t="s">
        <v>25</v>
      </c>
      <c r="I597" s="1"/>
    </row>
    <row r="598" spans="1:9" x14ac:dyDescent="0.3">
      <c r="A598" s="1" t="s">
        <v>726</v>
      </c>
      <c r="B598" s="1" t="s">
        <v>132</v>
      </c>
      <c r="C598" s="1" t="s">
        <v>35</v>
      </c>
      <c r="D598" s="1" t="s">
        <v>109</v>
      </c>
      <c r="E598" s="1" t="s">
        <v>18</v>
      </c>
      <c r="F598" s="1" t="s">
        <v>26</v>
      </c>
      <c r="G598" s="1" t="s">
        <v>22</v>
      </c>
      <c r="H598" s="1" t="s">
        <v>25</v>
      </c>
      <c r="I598" s="1"/>
    </row>
    <row r="599" spans="1:9" x14ac:dyDescent="0.3">
      <c r="A599" s="1" t="s">
        <v>727</v>
      </c>
      <c r="B599" s="1" t="s">
        <v>132</v>
      </c>
      <c r="C599" s="1" t="s">
        <v>35</v>
      </c>
      <c r="D599" s="1" t="s">
        <v>114</v>
      </c>
      <c r="E599" s="1" t="s">
        <v>37</v>
      </c>
      <c r="F599" s="1" t="s">
        <v>26</v>
      </c>
      <c r="G599" s="1" t="s">
        <v>26</v>
      </c>
      <c r="H599" s="1" t="s">
        <v>25</v>
      </c>
      <c r="I599" s="1"/>
    </row>
    <row r="600" spans="1:9" x14ac:dyDescent="0.3">
      <c r="A600" s="1" t="s">
        <v>728</v>
      </c>
      <c r="B600" s="1" t="s">
        <v>130</v>
      </c>
      <c r="C600" s="1" t="s">
        <v>35</v>
      </c>
      <c r="D600" s="1" t="s">
        <v>167</v>
      </c>
      <c r="E600" s="1" t="s">
        <v>18</v>
      </c>
      <c r="F600" s="1" t="s">
        <v>37</v>
      </c>
      <c r="G600" s="1" t="s">
        <v>18</v>
      </c>
      <c r="H600" s="1" t="s">
        <v>25</v>
      </c>
      <c r="I600" s="1"/>
    </row>
    <row r="601" spans="1:9" x14ac:dyDescent="0.3">
      <c r="A601" s="1" t="s">
        <v>729</v>
      </c>
      <c r="B601" s="1" t="s">
        <v>132</v>
      </c>
      <c r="C601" s="1" t="s">
        <v>28</v>
      </c>
      <c r="D601" s="1" t="s">
        <v>167</v>
      </c>
      <c r="E601" s="1" t="s">
        <v>37</v>
      </c>
      <c r="F601" s="1" t="s">
        <v>34</v>
      </c>
      <c r="G601" s="1" t="s">
        <v>34</v>
      </c>
      <c r="H601" s="1" t="s">
        <v>25</v>
      </c>
      <c r="I601" s="1"/>
    </row>
    <row r="602" spans="1:9" x14ac:dyDescent="0.3">
      <c r="A602" s="1" t="s">
        <v>730</v>
      </c>
      <c r="B602" s="1" t="s">
        <v>135</v>
      </c>
      <c r="C602" s="1" t="s">
        <v>28</v>
      </c>
      <c r="D602" s="1" t="s">
        <v>109</v>
      </c>
      <c r="E602" s="1" t="s">
        <v>37</v>
      </c>
      <c r="F602" s="1" t="s">
        <v>24</v>
      </c>
      <c r="G602" s="1" t="s">
        <v>24</v>
      </c>
      <c r="H602" s="1" t="s">
        <v>25</v>
      </c>
      <c r="I602" s="1"/>
    </row>
    <row r="603" spans="1:9" x14ac:dyDescent="0.3">
      <c r="A603" s="1" t="s">
        <v>731</v>
      </c>
      <c r="B603" s="1" t="s">
        <v>135</v>
      </c>
      <c r="C603" s="1" t="s">
        <v>42</v>
      </c>
      <c r="D603" s="1" t="s">
        <v>40</v>
      </c>
      <c r="E603" s="1" t="s">
        <v>26</v>
      </c>
      <c r="F603" s="1" t="s">
        <v>118</v>
      </c>
      <c r="G603" s="1" t="s">
        <v>157</v>
      </c>
      <c r="H603" s="1" t="s">
        <v>25</v>
      </c>
      <c r="I603" s="1"/>
    </row>
    <row r="604" spans="1:9" x14ac:dyDescent="0.3">
      <c r="A604" s="1" t="s">
        <v>732</v>
      </c>
      <c r="B604" s="1" t="s">
        <v>135</v>
      </c>
      <c r="C604" s="1" t="s">
        <v>42</v>
      </c>
      <c r="D604" s="1" t="s">
        <v>40</v>
      </c>
      <c r="E604" s="1" t="s">
        <v>26</v>
      </c>
      <c r="F604" s="1" t="s">
        <v>273</v>
      </c>
      <c r="G604" s="1" t="s">
        <v>165</v>
      </c>
      <c r="H604" s="1" t="s">
        <v>25</v>
      </c>
      <c r="I604" s="1"/>
    </row>
    <row r="605" spans="1:9" x14ac:dyDescent="0.3">
      <c r="A605" s="1" t="s">
        <v>733</v>
      </c>
      <c r="B605" s="1" t="s">
        <v>132</v>
      </c>
      <c r="C605" s="1" t="s">
        <v>42</v>
      </c>
      <c r="D605" s="1" t="s">
        <v>40</v>
      </c>
      <c r="E605" s="1" t="s">
        <v>38</v>
      </c>
      <c r="F605" s="1" t="s">
        <v>206</v>
      </c>
      <c r="G605" s="1" t="s">
        <v>211</v>
      </c>
      <c r="H605" s="1" t="s">
        <v>25</v>
      </c>
      <c r="I605" s="1"/>
    </row>
    <row r="606" spans="1:9" x14ac:dyDescent="0.3">
      <c r="A606" s="1" t="s">
        <v>734</v>
      </c>
      <c r="B606" s="1" t="s">
        <v>132</v>
      </c>
      <c r="C606" s="1" t="s">
        <v>42</v>
      </c>
      <c r="D606" s="1" t="s">
        <v>167</v>
      </c>
      <c r="E606" s="1" t="s">
        <v>37</v>
      </c>
      <c r="F606" s="1" t="s">
        <v>136</v>
      </c>
      <c r="G606" s="1" t="s">
        <v>136</v>
      </c>
      <c r="H606" s="1" t="s">
        <v>25</v>
      </c>
      <c r="I606" s="1"/>
    </row>
    <row r="607" spans="1:9" x14ac:dyDescent="0.3">
      <c r="A607" s="1" t="s">
        <v>735</v>
      </c>
      <c r="B607" s="1" t="s">
        <v>132</v>
      </c>
      <c r="C607" s="1" t="s">
        <v>286</v>
      </c>
      <c r="D607" s="1" t="s">
        <v>167</v>
      </c>
      <c r="E607" s="1" t="s">
        <v>37</v>
      </c>
      <c r="F607" s="1" t="s">
        <v>58</v>
      </c>
      <c r="G607" s="1" t="s">
        <v>58</v>
      </c>
      <c r="H607" s="1" t="s">
        <v>25</v>
      </c>
      <c r="I607" s="1"/>
    </row>
    <row r="608" spans="1:9" x14ac:dyDescent="0.3">
      <c r="A608" s="1" t="s">
        <v>736</v>
      </c>
      <c r="B608" s="1" t="s">
        <v>132</v>
      </c>
      <c r="C608" s="1" t="s">
        <v>286</v>
      </c>
      <c r="D608" s="1" t="s">
        <v>167</v>
      </c>
      <c r="E608" s="1" t="s">
        <v>18</v>
      </c>
      <c r="F608" s="1" t="s">
        <v>99</v>
      </c>
      <c r="G608" s="1" t="s">
        <v>62</v>
      </c>
      <c r="H608" s="1" t="s">
        <v>25</v>
      </c>
      <c r="I608" s="1"/>
    </row>
    <row r="609" spans="1:9" x14ac:dyDescent="0.3">
      <c r="A609" s="1" t="s">
        <v>737</v>
      </c>
      <c r="B609" s="1" t="s">
        <v>132</v>
      </c>
      <c r="C609" s="1" t="s">
        <v>286</v>
      </c>
      <c r="D609" s="1" t="s">
        <v>167</v>
      </c>
      <c r="E609" s="1" t="s">
        <v>37</v>
      </c>
      <c r="F609" s="1" t="s">
        <v>87</v>
      </c>
      <c r="G609" s="1" t="s">
        <v>87</v>
      </c>
      <c r="H609" s="1" t="s">
        <v>25</v>
      </c>
      <c r="I609" s="1"/>
    </row>
    <row r="610" spans="1:9" x14ac:dyDescent="0.3">
      <c r="A610" s="1" t="s">
        <v>738</v>
      </c>
      <c r="B610" s="1" t="s">
        <v>27</v>
      </c>
      <c r="C610" s="1" t="s">
        <v>28</v>
      </c>
      <c r="D610" s="1" t="s">
        <v>21</v>
      </c>
      <c r="E610" s="1" t="s">
        <v>26</v>
      </c>
      <c r="F610" s="1" t="s">
        <v>54</v>
      </c>
      <c r="G610" s="1" t="s">
        <v>112</v>
      </c>
      <c r="H610" s="1" t="s">
        <v>25</v>
      </c>
      <c r="I610" s="1"/>
    </row>
    <row r="611" spans="1:9" x14ac:dyDescent="0.3">
      <c r="A611" s="1" t="s">
        <v>739</v>
      </c>
      <c r="B611" s="1" t="s">
        <v>39</v>
      </c>
      <c r="C611" s="1" t="s">
        <v>42</v>
      </c>
      <c r="D611" s="1" t="s">
        <v>21</v>
      </c>
      <c r="E611" s="1" t="s">
        <v>18</v>
      </c>
      <c r="F611" s="1" t="s">
        <v>31</v>
      </c>
      <c r="G611" s="1" t="s">
        <v>79</v>
      </c>
      <c r="H611" s="1" t="s">
        <v>25</v>
      </c>
      <c r="I61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B26F-0259-4AFC-9AA2-CFEFF81D1488}">
  <dimension ref="A1:T391"/>
  <sheetViews>
    <sheetView topLeftCell="A193" workbookViewId="0">
      <selection activeCell="I198" sqref="I198"/>
    </sheetView>
  </sheetViews>
  <sheetFormatPr defaultRowHeight="14.4" x14ac:dyDescent="0.3"/>
  <cols>
    <col min="1" max="1" width="9" style="1" bestFit="1" customWidth="1"/>
    <col min="2" max="2" width="25.109375" style="3" bestFit="1" customWidth="1"/>
    <col min="3" max="3" width="9" style="1" bestFit="1" customWidth="1"/>
    <col min="4" max="4" width="4.88671875" style="1" bestFit="1" customWidth="1"/>
    <col min="5" max="5" width="7.77734375" style="1" bestFit="1" customWidth="1"/>
    <col min="6" max="6" width="5" style="1" bestFit="1" customWidth="1"/>
    <col min="7" max="7" width="9.44140625" style="1" bestFit="1" customWidth="1"/>
    <col min="8" max="8" width="10.77734375" style="1" bestFit="1" customWidth="1"/>
    <col min="9" max="9" width="12" style="1" bestFit="1" customWidth="1"/>
    <col min="10" max="10" width="7.6640625" style="1" bestFit="1" customWidth="1"/>
    <col min="11" max="11" width="8.6640625" style="1" bestFit="1" customWidth="1"/>
    <col min="12" max="12" width="7.109375" style="1" bestFit="1" customWidth="1"/>
    <col min="13" max="13" width="12.33203125" style="1" bestFit="1" customWidth="1"/>
    <col min="14" max="14" width="8.44140625" style="1" bestFit="1" customWidth="1"/>
    <col min="15" max="15" width="11.5546875" style="1" bestFit="1" customWidth="1"/>
    <col min="16" max="17" width="5.88671875" style="1" bestFit="1" customWidth="1"/>
    <col min="18" max="16384" width="8.88671875" style="1"/>
  </cols>
  <sheetData>
    <row r="1" spans="1:20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20" x14ac:dyDescent="0.3">
      <c r="A2" s="1">
        <v>611</v>
      </c>
      <c r="B2" s="3">
        <v>40571</v>
      </c>
      <c r="C2" s="1">
        <v>1</v>
      </c>
      <c r="D2" s="1">
        <v>0</v>
      </c>
      <c r="E2" s="1">
        <v>1</v>
      </c>
      <c r="F2" s="1">
        <v>16</v>
      </c>
      <c r="G2" s="1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20" x14ac:dyDescent="0.3">
      <c r="A3" s="1">
        <v>612</v>
      </c>
      <c r="B3" s="3">
        <v>40571</v>
      </c>
      <c r="C3" s="1">
        <v>1</v>
      </c>
      <c r="D3" s="1">
        <v>0</v>
      </c>
      <c r="E3" s="1">
        <v>1</v>
      </c>
      <c r="F3" s="1">
        <v>17</v>
      </c>
      <c r="G3" s="1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20" x14ac:dyDescent="0.3">
      <c r="A4" s="1">
        <v>613</v>
      </c>
      <c r="B4" s="3">
        <v>40571</v>
      </c>
      <c r="C4" s="1">
        <v>1</v>
      </c>
      <c r="D4" s="1">
        <v>0</v>
      </c>
      <c r="E4" s="1">
        <v>1</v>
      </c>
      <c r="F4" s="1">
        <v>18</v>
      </c>
      <c r="G4" s="1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20" ht="15" thickBot="1" x14ac:dyDescent="0.35">
      <c r="A5" s="1">
        <v>614</v>
      </c>
      <c r="B5" s="3">
        <v>40571</v>
      </c>
      <c r="C5" s="1">
        <v>1</v>
      </c>
      <c r="D5" s="1">
        <v>0</v>
      </c>
      <c r="E5" s="1">
        <v>1</v>
      </c>
      <c r="F5" s="1">
        <v>19</v>
      </c>
      <c r="G5" s="1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20" x14ac:dyDescent="0.3">
      <c r="A6" s="1">
        <v>615</v>
      </c>
      <c r="B6" s="3">
        <v>40571</v>
      </c>
      <c r="C6" s="1">
        <v>1</v>
      </c>
      <c r="D6" s="1">
        <v>0</v>
      </c>
      <c r="E6" s="1">
        <v>1</v>
      </c>
      <c r="F6" s="1">
        <v>20</v>
      </c>
      <c r="G6" s="1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  <c r="R6" s="46" t="s">
        <v>820</v>
      </c>
      <c r="S6" s="47"/>
      <c r="T6" s="48"/>
    </row>
    <row r="7" spans="1:20" x14ac:dyDescent="0.3">
      <c r="A7" s="1">
        <v>616</v>
      </c>
      <c r="B7" s="3">
        <v>40571</v>
      </c>
      <c r="C7" s="1">
        <v>1</v>
      </c>
      <c r="D7" s="1">
        <v>0</v>
      </c>
      <c r="E7" s="1">
        <v>1</v>
      </c>
      <c r="F7" s="1">
        <v>21</v>
      </c>
      <c r="G7" s="1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  <c r="R7" s="18">
        <v>2</v>
      </c>
      <c r="S7" s="6">
        <f>COUNTIF(I2:I1001,"2")</f>
        <v>115</v>
      </c>
      <c r="T7" s="19"/>
    </row>
    <row r="8" spans="1:20" x14ac:dyDescent="0.3">
      <c r="A8" s="1">
        <v>617</v>
      </c>
      <c r="B8" s="3">
        <v>40571</v>
      </c>
      <c r="C8" s="1">
        <v>1</v>
      </c>
      <c r="D8" s="1">
        <v>0</v>
      </c>
      <c r="E8" s="1">
        <v>1</v>
      </c>
      <c r="F8" s="1">
        <v>22</v>
      </c>
      <c r="G8" s="1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  <c r="R8" s="18">
        <v>1</v>
      </c>
      <c r="S8" s="6">
        <f>COUNTIF(I2:I1001,"1")</f>
        <v>238</v>
      </c>
      <c r="T8" s="19"/>
    </row>
    <row r="9" spans="1:20" ht="15" thickBot="1" x14ac:dyDescent="0.35">
      <c r="A9" s="1">
        <v>618</v>
      </c>
      <c r="B9" s="3">
        <v>40571</v>
      </c>
      <c r="C9" s="1">
        <v>1</v>
      </c>
      <c r="D9" s="1">
        <v>0</v>
      </c>
      <c r="E9" s="1">
        <v>1</v>
      </c>
      <c r="F9" s="1">
        <v>23</v>
      </c>
      <c r="G9" s="1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  <c r="R9" s="20">
        <v>3</v>
      </c>
      <c r="S9" s="21">
        <f>COUNTIF(I2:I1001,"3")</f>
        <v>37</v>
      </c>
      <c r="T9" s="22"/>
    </row>
    <row r="10" spans="1:20" x14ac:dyDescent="0.3">
      <c r="A10" s="1">
        <v>619</v>
      </c>
      <c r="B10" s="3">
        <v>40572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20" x14ac:dyDescent="0.3">
      <c r="A11" s="1">
        <v>620</v>
      </c>
      <c r="B11" s="3">
        <v>40572</v>
      </c>
      <c r="C11" s="1">
        <v>1</v>
      </c>
      <c r="D11" s="1">
        <v>0</v>
      </c>
      <c r="E11" s="1">
        <v>1</v>
      </c>
      <c r="F11" s="1">
        <v>1</v>
      </c>
      <c r="G11" s="1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  <c r="R11" s="49" t="s">
        <v>821</v>
      </c>
      <c r="S11" s="49"/>
      <c r="T11" s="49"/>
    </row>
    <row r="12" spans="1:20" x14ac:dyDescent="0.3">
      <c r="A12" s="1">
        <v>621</v>
      </c>
      <c r="B12" s="3">
        <v>40572</v>
      </c>
      <c r="C12" s="1">
        <v>1</v>
      </c>
      <c r="D12" s="1">
        <v>0</v>
      </c>
      <c r="E12" s="1">
        <v>1</v>
      </c>
      <c r="F12" s="1">
        <v>2</v>
      </c>
      <c r="G12" s="1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  <c r="R12" s="6">
        <v>5</v>
      </c>
      <c r="S12" s="6">
        <f>COUNTIF(H2:H1001,"5")</f>
        <v>53</v>
      </c>
      <c r="T12" s="6"/>
    </row>
    <row r="13" spans="1:20" x14ac:dyDescent="0.3">
      <c r="A13" s="1">
        <v>622</v>
      </c>
      <c r="B13" s="3">
        <v>40572</v>
      </c>
      <c r="C13" s="1">
        <v>1</v>
      </c>
      <c r="D13" s="1">
        <v>0</v>
      </c>
      <c r="E13" s="1">
        <v>1</v>
      </c>
      <c r="F13" s="1">
        <v>3</v>
      </c>
      <c r="G13" s="1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  <c r="R13" s="6">
        <v>6</v>
      </c>
      <c r="S13" s="6">
        <f>COUNTIF(H2:H1001,"6")</f>
        <v>71</v>
      </c>
      <c r="T13" s="6"/>
    </row>
    <row r="14" spans="1:20" x14ac:dyDescent="0.3">
      <c r="A14" s="1">
        <v>623</v>
      </c>
      <c r="B14" s="3">
        <v>40572</v>
      </c>
      <c r="C14" s="1">
        <v>1</v>
      </c>
      <c r="D14" s="1">
        <v>0</v>
      </c>
      <c r="E14" s="1">
        <v>1</v>
      </c>
      <c r="F14" s="1">
        <v>4</v>
      </c>
      <c r="G14" s="1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20" x14ac:dyDescent="0.3">
      <c r="A15" s="1">
        <v>624</v>
      </c>
      <c r="B15" s="3">
        <v>40572</v>
      </c>
      <c r="C15" s="1">
        <v>1</v>
      </c>
      <c r="D15" s="1">
        <v>0</v>
      </c>
      <c r="E15" s="1">
        <v>1</v>
      </c>
      <c r="F15" s="1">
        <v>6</v>
      </c>
      <c r="G15" s="1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  <c r="R15" s="50" t="s">
        <v>822</v>
      </c>
      <c r="S15" s="50"/>
      <c r="T15" s="6"/>
    </row>
    <row r="16" spans="1:20" x14ac:dyDescent="0.3">
      <c r="A16" s="1">
        <v>625</v>
      </c>
      <c r="B16" s="3">
        <v>40572</v>
      </c>
      <c r="C16" s="1">
        <v>1</v>
      </c>
      <c r="D16" s="1">
        <v>0</v>
      </c>
      <c r="E16" s="1">
        <v>1</v>
      </c>
      <c r="F16" s="1">
        <v>7</v>
      </c>
      <c r="G16" s="1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  <c r="R16" s="6">
        <v>1</v>
      </c>
      <c r="S16" s="6">
        <f>COUNTIF(E2:E1001,"1")</f>
        <v>78</v>
      </c>
      <c r="T16" s="6"/>
    </row>
    <row r="17" spans="1:20" x14ac:dyDescent="0.3">
      <c r="A17" s="1">
        <v>626</v>
      </c>
      <c r="B17" s="3">
        <v>40572</v>
      </c>
      <c r="C17" s="1">
        <v>1</v>
      </c>
      <c r="D17" s="1">
        <v>0</v>
      </c>
      <c r="E17" s="1">
        <v>1</v>
      </c>
      <c r="F17" s="1">
        <v>8</v>
      </c>
      <c r="G17" s="1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  <c r="R17" s="6">
        <v>2</v>
      </c>
      <c r="S17" s="6">
        <f>COUNTIF(E2:E1001,"2")</f>
        <v>312</v>
      </c>
      <c r="T17" s="6"/>
    </row>
    <row r="18" spans="1:20" x14ac:dyDescent="0.3">
      <c r="A18" s="1">
        <v>627</v>
      </c>
      <c r="B18" s="3">
        <v>40572</v>
      </c>
      <c r="C18" s="1">
        <v>1</v>
      </c>
      <c r="D18" s="1">
        <v>0</v>
      </c>
      <c r="E18" s="1">
        <v>1</v>
      </c>
      <c r="F18" s="1">
        <v>9</v>
      </c>
      <c r="G18" s="1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20" x14ac:dyDescent="0.3">
      <c r="A19" s="1">
        <v>628</v>
      </c>
      <c r="B19" s="3">
        <v>40572</v>
      </c>
      <c r="C19" s="1">
        <v>1</v>
      </c>
      <c r="D19" s="1">
        <v>0</v>
      </c>
      <c r="E19" s="1">
        <v>1</v>
      </c>
      <c r="F19" s="1">
        <v>10</v>
      </c>
      <c r="G19" s="1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20" x14ac:dyDescent="0.3">
      <c r="A20" s="1">
        <v>629</v>
      </c>
      <c r="B20" s="3">
        <v>40572</v>
      </c>
      <c r="C20" s="1">
        <v>1</v>
      </c>
      <c r="D20" s="1">
        <v>0</v>
      </c>
      <c r="E20" s="1">
        <v>1</v>
      </c>
      <c r="F20" s="1">
        <v>11</v>
      </c>
      <c r="G20" s="1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20" x14ac:dyDescent="0.3">
      <c r="A21" s="1">
        <v>630</v>
      </c>
      <c r="B21" s="3">
        <v>40572</v>
      </c>
      <c r="C21" s="1">
        <v>1</v>
      </c>
      <c r="D21" s="1">
        <v>0</v>
      </c>
      <c r="E21" s="1">
        <v>1</v>
      </c>
      <c r="F21" s="1">
        <v>12</v>
      </c>
      <c r="G21" s="1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20" x14ac:dyDescent="0.3">
      <c r="A22" s="1">
        <v>631</v>
      </c>
      <c r="B22" s="3">
        <v>40572</v>
      </c>
      <c r="C22" s="1">
        <v>1</v>
      </c>
      <c r="D22" s="1">
        <v>0</v>
      </c>
      <c r="E22" s="1">
        <v>1</v>
      </c>
      <c r="F22" s="1">
        <v>13</v>
      </c>
      <c r="G22" s="1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20" x14ac:dyDescent="0.3">
      <c r="A23" s="1">
        <v>632</v>
      </c>
      <c r="B23" s="3">
        <v>40572</v>
      </c>
      <c r="C23" s="1">
        <v>1</v>
      </c>
      <c r="D23" s="1">
        <v>0</v>
      </c>
      <c r="E23" s="1">
        <v>1</v>
      </c>
      <c r="F23" s="1">
        <v>14</v>
      </c>
      <c r="G23" s="1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20" x14ac:dyDescent="0.3">
      <c r="A24" s="1">
        <v>633</v>
      </c>
      <c r="B24" s="3">
        <v>40572</v>
      </c>
      <c r="C24" s="1">
        <v>1</v>
      </c>
      <c r="D24" s="1">
        <v>0</v>
      </c>
      <c r="E24" s="1">
        <v>1</v>
      </c>
      <c r="F24" s="1">
        <v>15</v>
      </c>
      <c r="G24" s="1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20" x14ac:dyDescent="0.3">
      <c r="A25" s="1">
        <v>634</v>
      </c>
      <c r="B25" s="3">
        <v>40572</v>
      </c>
      <c r="C25" s="1">
        <v>1</v>
      </c>
      <c r="D25" s="1">
        <v>0</v>
      </c>
      <c r="E25" s="1">
        <v>1</v>
      </c>
      <c r="F25" s="1">
        <v>16</v>
      </c>
      <c r="G25" s="1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20" x14ac:dyDescent="0.3">
      <c r="A26" s="1">
        <v>635</v>
      </c>
      <c r="B26" s="3">
        <v>40572</v>
      </c>
      <c r="C26" s="1">
        <v>1</v>
      </c>
      <c r="D26" s="1">
        <v>0</v>
      </c>
      <c r="E26" s="1">
        <v>1</v>
      </c>
      <c r="F26" s="1">
        <v>17</v>
      </c>
      <c r="G26" s="1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20" x14ac:dyDescent="0.3">
      <c r="A27" s="1">
        <v>636</v>
      </c>
      <c r="B27" s="3">
        <v>40572</v>
      </c>
      <c r="C27" s="1">
        <v>1</v>
      </c>
      <c r="D27" s="1">
        <v>0</v>
      </c>
      <c r="E27" s="1">
        <v>1</v>
      </c>
      <c r="F27" s="1">
        <v>18</v>
      </c>
      <c r="G27" s="1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20" x14ac:dyDescent="0.3">
      <c r="A28" s="1">
        <v>637</v>
      </c>
      <c r="B28" s="3">
        <v>40572</v>
      </c>
      <c r="C28" s="1">
        <v>1</v>
      </c>
      <c r="D28" s="1">
        <v>0</v>
      </c>
      <c r="E28" s="1">
        <v>1</v>
      </c>
      <c r="F28" s="1">
        <v>19</v>
      </c>
      <c r="G28" s="1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20" x14ac:dyDescent="0.3">
      <c r="A29" s="1">
        <v>638</v>
      </c>
      <c r="B29" s="3">
        <v>40572</v>
      </c>
      <c r="C29" s="1">
        <v>1</v>
      </c>
      <c r="D29" s="1">
        <v>0</v>
      </c>
      <c r="E29" s="1">
        <v>1</v>
      </c>
      <c r="F29" s="1">
        <v>20</v>
      </c>
      <c r="G29" s="1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20" x14ac:dyDescent="0.3">
      <c r="A30" s="1">
        <v>639</v>
      </c>
      <c r="B30" s="3">
        <v>40572</v>
      </c>
      <c r="C30" s="1">
        <v>1</v>
      </c>
      <c r="D30" s="1">
        <v>0</v>
      </c>
      <c r="E30" s="1">
        <v>1</v>
      </c>
      <c r="F30" s="1">
        <v>21</v>
      </c>
      <c r="G30" s="1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20" x14ac:dyDescent="0.3">
      <c r="A31" s="1">
        <v>640</v>
      </c>
      <c r="B31" s="3">
        <v>40572</v>
      </c>
      <c r="C31" s="1">
        <v>1</v>
      </c>
      <c r="D31" s="1">
        <v>0</v>
      </c>
      <c r="E31" s="1">
        <v>1</v>
      </c>
      <c r="F31" s="1">
        <v>22</v>
      </c>
      <c r="G31" s="1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20" x14ac:dyDescent="0.3">
      <c r="A32" s="1">
        <v>641</v>
      </c>
      <c r="B32" s="3">
        <v>40572</v>
      </c>
      <c r="C32" s="1">
        <v>1</v>
      </c>
      <c r="D32" s="1">
        <v>0</v>
      </c>
      <c r="E32" s="1">
        <v>1</v>
      </c>
      <c r="F32" s="1">
        <v>23</v>
      </c>
      <c r="G32" s="1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x14ac:dyDescent="0.3">
      <c r="A33" s="1">
        <v>642</v>
      </c>
      <c r="B33" s="3">
        <v>40573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x14ac:dyDescent="0.3">
      <c r="A34" s="1">
        <v>643</v>
      </c>
      <c r="B34" s="3">
        <v>40573</v>
      </c>
      <c r="C34" s="1">
        <v>1</v>
      </c>
      <c r="D34" s="1">
        <v>0</v>
      </c>
      <c r="E34" s="1">
        <v>1</v>
      </c>
      <c r="F34" s="1">
        <v>1</v>
      </c>
      <c r="G34" s="1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x14ac:dyDescent="0.3">
      <c r="A35" s="1">
        <v>644</v>
      </c>
      <c r="B35" s="3">
        <v>40573</v>
      </c>
      <c r="C35" s="1">
        <v>1</v>
      </c>
      <c r="D35" s="1">
        <v>0</v>
      </c>
      <c r="E35" s="1">
        <v>1</v>
      </c>
      <c r="F35" s="1">
        <v>2</v>
      </c>
      <c r="G35" s="1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x14ac:dyDescent="0.3">
      <c r="A36" s="1">
        <v>645</v>
      </c>
      <c r="B36" s="3">
        <v>40573</v>
      </c>
      <c r="C36" s="1">
        <v>1</v>
      </c>
      <c r="D36" s="1">
        <v>0</v>
      </c>
      <c r="E36" s="1">
        <v>1</v>
      </c>
      <c r="F36" s="1">
        <v>3</v>
      </c>
      <c r="G36" s="1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x14ac:dyDescent="0.3">
      <c r="A37" s="1">
        <v>646</v>
      </c>
      <c r="B37" s="3">
        <v>40573</v>
      </c>
      <c r="C37" s="1">
        <v>1</v>
      </c>
      <c r="D37" s="1">
        <v>0</v>
      </c>
      <c r="E37" s="1">
        <v>1</v>
      </c>
      <c r="F37" s="1">
        <v>4</v>
      </c>
      <c r="G37" s="1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x14ac:dyDescent="0.3">
      <c r="A38" s="1">
        <v>647</v>
      </c>
      <c r="B38" s="3">
        <v>40573</v>
      </c>
      <c r="C38" s="1">
        <v>1</v>
      </c>
      <c r="D38" s="1">
        <v>0</v>
      </c>
      <c r="E38" s="1">
        <v>1</v>
      </c>
      <c r="F38" s="1">
        <v>5</v>
      </c>
      <c r="G38" s="1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x14ac:dyDescent="0.3">
      <c r="A39" s="1">
        <v>648</v>
      </c>
      <c r="B39" s="3">
        <v>40573</v>
      </c>
      <c r="C39" s="1">
        <v>1</v>
      </c>
      <c r="D39" s="1">
        <v>0</v>
      </c>
      <c r="E39" s="1">
        <v>1</v>
      </c>
      <c r="F39" s="1">
        <v>7</v>
      </c>
      <c r="G39" s="1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x14ac:dyDescent="0.3">
      <c r="A40" s="1">
        <v>649</v>
      </c>
      <c r="B40" s="3">
        <v>40573</v>
      </c>
      <c r="C40" s="1">
        <v>1</v>
      </c>
      <c r="D40" s="1">
        <v>0</v>
      </c>
      <c r="E40" s="1">
        <v>1</v>
      </c>
      <c r="F40" s="1">
        <v>8</v>
      </c>
      <c r="G40" s="1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x14ac:dyDescent="0.3">
      <c r="A41" s="1">
        <v>650</v>
      </c>
      <c r="B41" s="3">
        <v>40573</v>
      </c>
      <c r="C41" s="1">
        <v>1</v>
      </c>
      <c r="D41" s="1">
        <v>0</v>
      </c>
      <c r="E41" s="1">
        <v>1</v>
      </c>
      <c r="F41" s="1">
        <v>9</v>
      </c>
      <c r="G41" s="1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x14ac:dyDescent="0.3">
      <c r="A42" s="1">
        <v>651</v>
      </c>
      <c r="B42" s="3">
        <v>40573</v>
      </c>
      <c r="C42" s="1">
        <v>1</v>
      </c>
      <c r="D42" s="1">
        <v>0</v>
      </c>
      <c r="E42" s="1">
        <v>1</v>
      </c>
      <c r="F42" s="1">
        <v>10</v>
      </c>
      <c r="G42" s="1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x14ac:dyDescent="0.3">
      <c r="A43" s="1">
        <v>652</v>
      </c>
      <c r="B43" s="3">
        <v>40573</v>
      </c>
      <c r="C43" s="1">
        <v>1</v>
      </c>
      <c r="D43" s="1">
        <v>0</v>
      </c>
      <c r="E43" s="1">
        <v>1</v>
      </c>
      <c r="F43" s="1">
        <v>11</v>
      </c>
      <c r="G43" s="1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x14ac:dyDescent="0.3">
      <c r="A44" s="1">
        <v>653</v>
      </c>
      <c r="B44" s="3">
        <v>40573</v>
      </c>
      <c r="C44" s="1">
        <v>1</v>
      </c>
      <c r="D44" s="1">
        <v>0</v>
      </c>
      <c r="E44" s="1">
        <v>1</v>
      </c>
      <c r="F44" s="1">
        <v>12</v>
      </c>
      <c r="G44" s="1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x14ac:dyDescent="0.3">
      <c r="A45" s="1">
        <v>654</v>
      </c>
      <c r="B45" s="3">
        <v>40573</v>
      </c>
      <c r="C45" s="1">
        <v>1</v>
      </c>
      <c r="D45" s="1">
        <v>0</v>
      </c>
      <c r="E45" s="1">
        <v>1</v>
      </c>
      <c r="F45" s="1">
        <v>13</v>
      </c>
      <c r="G45" s="1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x14ac:dyDescent="0.3">
      <c r="A46" s="1">
        <v>655</v>
      </c>
      <c r="B46" s="3">
        <v>40573</v>
      </c>
      <c r="C46" s="1">
        <v>1</v>
      </c>
      <c r="D46" s="1">
        <v>0</v>
      </c>
      <c r="E46" s="1">
        <v>1</v>
      </c>
      <c r="F46" s="1">
        <v>14</v>
      </c>
      <c r="G46" s="1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x14ac:dyDescent="0.3">
      <c r="A47" s="1">
        <v>656</v>
      </c>
      <c r="B47" s="3">
        <v>40573</v>
      </c>
      <c r="C47" s="1">
        <v>1</v>
      </c>
      <c r="D47" s="1">
        <v>0</v>
      </c>
      <c r="E47" s="1">
        <v>1</v>
      </c>
      <c r="F47" s="1">
        <v>15</v>
      </c>
      <c r="G47" s="1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x14ac:dyDescent="0.3">
      <c r="A48" s="1">
        <v>657</v>
      </c>
      <c r="B48" s="3">
        <v>40573</v>
      </c>
      <c r="C48" s="1">
        <v>1</v>
      </c>
      <c r="D48" s="1">
        <v>0</v>
      </c>
      <c r="E48" s="1">
        <v>1</v>
      </c>
      <c r="F48" s="1">
        <v>16</v>
      </c>
      <c r="G48" s="1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x14ac:dyDescent="0.3">
      <c r="A49" s="1">
        <v>658</v>
      </c>
      <c r="B49" s="3">
        <v>40573</v>
      </c>
      <c r="C49" s="1">
        <v>1</v>
      </c>
      <c r="D49" s="1">
        <v>0</v>
      </c>
      <c r="E49" s="1">
        <v>1</v>
      </c>
      <c r="F49" s="1">
        <v>17</v>
      </c>
      <c r="G49" s="1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x14ac:dyDescent="0.3">
      <c r="A50" s="1">
        <v>659</v>
      </c>
      <c r="B50" s="3">
        <v>40573</v>
      </c>
      <c r="C50" s="1">
        <v>1</v>
      </c>
      <c r="D50" s="1">
        <v>0</v>
      </c>
      <c r="E50" s="1">
        <v>1</v>
      </c>
      <c r="F50" s="1">
        <v>18</v>
      </c>
      <c r="G50" s="1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x14ac:dyDescent="0.3">
      <c r="A51" s="1">
        <v>660</v>
      </c>
      <c r="B51" s="3">
        <v>40573</v>
      </c>
      <c r="C51" s="1">
        <v>1</v>
      </c>
      <c r="D51" s="1">
        <v>0</v>
      </c>
      <c r="E51" s="1">
        <v>1</v>
      </c>
      <c r="F51" s="1">
        <v>19</v>
      </c>
      <c r="G51" s="1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x14ac:dyDescent="0.3">
      <c r="A52" s="1">
        <v>661</v>
      </c>
      <c r="B52" s="3">
        <v>40573</v>
      </c>
      <c r="C52" s="1">
        <v>1</v>
      </c>
      <c r="D52" s="1">
        <v>0</v>
      </c>
      <c r="E52" s="1">
        <v>1</v>
      </c>
      <c r="F52" s="1">
        <v>20</v>
      </c>
      <c r="G52" s="1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x14ac:dyDescent="0.3">
      <c r="A53" s="1">
        <v>662</v>
      </c>
      <c r="B53" s="3">
        <v>40573</v>
      </c>
      <c r="C53" s="1">
        <v>1</v>
      </c>
      <c r="D53" s="1">
        <v>0</v>
      </c>
      <c r="E53" s="1">
        <v>1</v>
      </c>
      <c r="F53" s="1">
        <v>21</v>
      </c>
      <c r="G53" s="1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x14ac:dyDescent="0.3">
      <c r="A54" s="1">
        <v>663</v>
      </c>
      <c r="B54" s="3">
        <v>40573</v>
      </c>
      <c r="C54" s="1">
        <v>1</v>
      </c>
      <c r="D54" s="1">
        <v>0</v>
      </c>
      <c r="E54" s="1">
        <v>1</v>
      </c>
      <c r="F54" s="1">
        <v>22</v>
      </c>
      <c r="G54" s="1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x14ac:dyDescent="0.3">
      <c r="A55" s="1">
        <v>664</v>
      </c>
      <c r="B55" s="3">
        <v>40573</v>
      </c>
      <c r="C55" s="1">
        <v>1</v>
      </c>
      <c r="D55" s="1">
        <v>0</v>
      </c>
      <c r="E55" s="1">
        <v>1</v>
      </c>
      <c r="F55" s="1">
        <v>23</v>
      </c>
      <c r="G55" s="1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x14ac:dyDescent="0.3">
      <c r="A56" s="1">
        <v>665</v>
      </c>
      <c r="B56" s="3">
        <v>40574</v>
      </c>
      <c r="C56" s="1">
        <v>1</v>
      </c>
      <c r="D56" s="1">
        <v>0</v>
      </c>
      <c r="E56" s="1">
        <v>1</v>
      </c>
      <c r="F56" s="1">
        <v>0</v>
      </c>
      <c r="G56" s="1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x14ac:dyDescent="0.3">
      <c r="A57" s="1">
        <v>666</v>
      </c>
      <c r="B57" s="3">
        <v>40574</v>
      </c>
      <c r="C57" s="1">
        <v>1</v>
      </c>
      <c r="D57" s="1">
        <v>0</v>
      </c>
      <c r="E57" s="1">
        <v>1</v>
      </c>
      <c r="F57" s="1">
        <v>1</v>
      </c>
      <c r="G57" s="1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x14ac:dyDescent="0.3">
      <c r="A58" s="1">
        <v>667</v>
      </c>
      <c r="B58" s="3">
        <v>40574</v>
      </c>
      <c r="C58" s="1">
        <v>1</v>
      </c>
      <c r="D58" s="1">
        <v>0</v>
      </c>
      <c r="E58" s="1">
        <v>1</v>
      </c>
      <c r="F58" s="1">
        <v>2</v>
      </c>
      <c r="G58" s="1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x14ac:dyDescent="0.3">
      <c r="A59" s="1">
        <v>668</v>
      </c>
      <c r="B59" s="3">
        <v>40574</v>
      </c>
      <c r="C59" s="1">
        <v>1</v>
      </c>
      <c r="D59" s="1">
        <v>0</v>
      </c>
      <c r="E59" s="1">
        <v>1</v>
      </c>
      <c r="F59" s="1">
        <v>3</v>
      </c>
      <c r="G59" s="1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x14ac:dyDescent="0.3">
      <c r="A60" s="1">
        <v>669</v>
      </c>
      <c r="B60" s="3">
        <v>40574</v>
      </c>
      <c r="C60" s="1">
        <v>1</v>
      </c>
      <c r="D60" s="1">
        <v>0</v>
      </c>
      <c r="E60" s="1">
        <v>1</v>
      </c>
      <c r="F60" s="1">
        <v>4</v>
      </c>
      <c r="G60" s="1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x14ac:dyDescent="0.3">
      <c r="A61" s="1">
        <v>670</v>
      </c>
      <c r="B61" s="3">
        <v>40574</v>
      </c>
      <c r="C61" s="1">
        <v>1</v>
      </c>
      <c r="D61" s="1">
        <v>0</v>
      </c>
      <c r="E61" s="1">
        <v>1</v>
      </c>
      <c r="F61" s="1">
        <v>5</v>
      </c>
      <c r="G61" s="1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x14ac:dyDescent="0.3">
      <c r="A62" s="1">
        <v>671</v>
      </c>
      <c r="B62" s="3">
        <v>40574</v>
      </c>
      <c r="C62" s="1">
        <v>1</v>
      </c>
      <c r="D62" s="1">
        <v>0</v>
      </c>
      <c r="E62" s="1">
        <v>1</v>
      </c>
      <c r="F62" s="1">
        <v>6</v>
      </c>
      <c r="G62" s="1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x14ac:dyDescent="0.3">
      <c r="A63" s="1">
        <v>672</v>
      </c>
      <c r="B63" s="3">
        <v>40574</v>
      </c>
      <c r="C63" s="1">
        <v>1</v>
      </c>
      <c r="D63" s="1">
        <v>0</v>
      </c>
      <c r="E63" s="1">
        <v>1</v>
      </c>
      <c r="F63" s="1">
        <v>7</v>
      </c>
      <c r="G63" s="1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x14ac:dyDescent="0.3">
      <c r="A64" s="1">
        <v>673</v>
      </c>
      <c r="B64" s="3">
        <v>40574</v>
      </c>
      <c r="C64" s="1">
        <v>1</v>
      </c>
      <c r="D64" s="1">
        <v>0</v>
      </c>
      <c r="E64" s="1">
        <v>1</v>
      </c>
      <c r="F64" s="1">
        <v>8</v>
      </c>
      <c r="G64" s="1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x14ac:dyDescent="0.3">
      <c r="A65" s="1">
        <v>674</v>
      </c>
      <c r="B65" s="3">
        <v>40574</v>
      </c>
      <c r="C65" s="1">
        <v>1</v>
      </c>
      <c r="D65" s="1">
        <v>0</v>
      </c>
      <c r="E65" s="1">
        <v>1</v>
      </c>
      <c r="F65" s="1">
        <v>9</v>
      </c>
      <c r="G65" s="1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x14ac:dyDescent="0.3">
      <c r="A66" s="1">
        <v>675</v>
      </c>
      <c r="B66" s="3">
        <v>40574</v>
      </c>
      <c r="C66" s="1">
        <v>1</v>
      </c>
      <c r="D66" s="1">
        <v>0</v>
      </c>
      <c r="E66" s="1">
        <v>1</v>
      </c>
      <c r="F66" s="1">
        <v>10</v>
      </c>
      <c r="G66" s="1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x14ac:dyDescent="0.3">
      <c r="A67" s="1">
        <v>676</v>
      </c>
      <c r="B67" s="3">
        <v>40574</v>
      </c>
      <c r="C67" s="1">
        <v>1</v>
      </c>
      <c r="D67" s="1">
        <v>0</v>
      </c>
      <c r="E67" s="1">
        <v>1</v>
      </c>
      <c r="F67" s="1">
        <v>11</v>
      </c>
      <c r="G67" s="1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x14ac:dyDescent="0.3">
      <c r="A68" s="1">
        <v>677</v>
      </c>
      <c r="B68" s="3">
        <v>40574</v>
      </c>
      <c r="C68" s="1">
        <v>1</v>
      </c>
      <c r="D68" s="1">
        <v>0</v>
      </c>
      <c r="E68" s="1">
        <v>1</v>
      </c>
      <c r="F68" s="1">
        <v>12</v>
      </c>
      <c r="G68" s="1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x14ac:dyDescent="0.3">
      <c r="A69" s="1">
        <v>678</v>
      </c>
      <c r="B69" s="3">
        <v>40574</v>
      </c>
      <c r="C69" s="1">
        <v>1</v>
      </c>
      <c r="D69" s="1">
        <v>0</v>
      </c>
      <c r="E69" s="1">
        <v>1</v>
      </c>
      <c r="F69" s="1">
        <v>13</v>
      </c>
      <c r="G69" s="1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x14ac:dyDescent="0.3">
      <c r="A70" s="1">
        <v>679</v>
      </c>
      <c r="B70" s="3">
        <v>40574</v>
      </c>
      <c r="C70" s="1">
        <v>1</v>
      </c>
      <c r="D70" s="1">
        <v>0</v>
      </c>
      <c r="E70" s="1">
        <v>1</v>
      </c>
      <c r="F70" s="1">
        <v>14</v>
      </c>
      <c r="G70" s="1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x14ac:dyDescent="0.3">
      <c r="A71" s="1">
        <v>680</v>
      </c>
      <c r="B71" s="3">
        <v>40574</v>
      </c>
      <c r="C71" s="1">
        <v>1</v>
      </c>
      <c r="D71" s="1">
        <v>0</v>
      </c>
      <c r="E71" s="1">
        <v>1</v>
      </c>
      <c r="F71" s="1">
        <v>15</v>
      </c>
      <c r="G71" s="1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x14ac:dyDescent="0.3">
      <c r="A72" s="1">
        <v>681</v>
      </c>
      <c r="B72" s="3">
        <v>40574</v>
      </c>
      <c r="C72" s="1">
        <v>1</v>
      </c>
      <c r="D72" s="1">
        <v>0</v>
      </c>
      <c r="E72" s="1">
        <v>1</v>
      </c>
      <c r="F72" s="1">
        <v>16</v>
      </c>
      <c r="G72" s="1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x14ac:dyDescent="0.3">
      <c r="A73" s="1">
        <v>682</v>
      </c>
      <c r="B73" s="3">
        <v>40574</v>
      </c>
      <c r="C73" s="1">
        <v>1</v>
      </c>
      <c r="D73" s="1">
        <v>0</v>
      </c>
      <c r="E73" s="1">
        <v>1</v>
      </c>
      <c r="F73" s="1">
        <v>17</v>
      </c>
      <c r="G73" s="1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x14ac:dyDescent="0.3">
      <c r="A74" s="1">
        <v>683</v>
      </c>
      <c r="B74" s="3">
        <v>40574</v>
      </c>
      <c r="C74" s="1">
        <v>1</v>
      </c>
      <c r="D74" s="1">
        <v>0</v>
      </c>
      <c r="E74" s="1">
        <v>1</v>
      </c>
      <c r="F74" s="1">
        <v>18</v>
      </c>
      <c r="G74" s="1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x14ac:dyDescent="0.3">
      <c r="A75" s="1">
        <v>684</v>
      </c>
      <c r="B75" s="3">
        <v>40574</v>
      </c>
      <c r="C75" s="1">
        <v>1</v>
      </c>
      <c r="D75" s="1">
        <v>0</v>
      </c>
      <c r="E75" s="1">
        <v>1</v>
      </c>
      <c r="F75" s="1">
        <v>19</v>
      </c>
      <c r="G75" s="1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x14ac:dyDescent="0.3">
      <c r="A76" s="1">
        <v>685</v>
      </c>
      <c r="B76" s="3">
        <v>40574</v>
      </c>
      <c r="C76" s="1">
        <v>1</v>
      </c>
      <c r="D76" s="1">
        <v>0</v>
      </c>
      <c r="E76" s="1">
        <v>1</v>
      </c>
      <c r="F76" s="1">
        <v>20</v>
      </c>
      <c r="G76" s="1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x14ac:dyDescent="0.3">
      <c r="A77" s="1">
        <v>686</v>
      </c>
      <c r="B77" s="3">
        <v>40574</v>
      </c>
      <c r="C77" s="1">
        <v>1</v>
      </c>
      <c r="D77" s="1">
        <v>0</v>
      </c>
      <c r="E77" s="1">
        <v>1</v>
      </c>
      <c r="F77" s="1">
        <v>21</v>
      </c>
      <c r="G77" s="1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x14ac:dyDescent="0.3">
      <c r="A78" s="1">
        <v>687</v>
      </c>
      <c r="B78" s="3">
        <v>40574</v>
      </c>
      <c r="C78" s="1">
        <v>1</v>
      </c>
      <c r="D78" s="1">
        <v>0</v>
      </c>
      <c r="E78" s="1">
        <v>1</v>
      </c>
      <c r="F78" s="1">
        <v>22</v>
      </c>
      <c r="G78" s="1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x14ac:dyDescent="0.3">
      <c r="A79" s="1">
        <v>688</v>
      </c>
      <c r="B79" s="3">
        <v>40574</v>
      </c>
      <c r="C79" s="1">
        <v>1</v>
      </c>
      <c r="D79" s="1">
        <v>0</v>
      </c>
      <c r="E79" s="1">
        <v>1</v>
      </c>
      <c r="F79" s="1">
        <v>23</v>
      </c>
      <c r="G79" s="1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x14ac:dyDescent="0.3">
      <c r="A80" s="1">
        <v>689</v>
      </c>
      <c r="B80" s="3">
        <v>40575</v>
      </c>
      <c r="C80" s="1">
        <v>1</v>
      </c>
      <c r="D80" s="1">
        <v>0</v>
      </c>
      <c r="E80" s="1">
        <v>2</v>
      </c>
      <c r="F80" s="1">
        <v>0</v>
      </c>
      <c r="G80" s="1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x14ac:dyDescent="0.3">
      <c r="A81" s="1">
        <v>690</v>
      </c>
      <c r="B81" s="3">
        <v>40575</v>
      </c>
      <c r="C81" s="1">
        <v>1</v>
      </c>
      <c r="D81" s="1">
        <v>0</v>
      </c>
      <c r="E81" s="1">
        <v>2</v>
      </c>
      <c r="F81" s="1">
        <v>1</v>
      </c>
      <c r="G81" s="1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x14ac:dyDescent="0.3">
      <c r="A82" s="1">
        <v>691</v>
      </c>
      <c r="B82" s="3">
        <v>40575</v>
      </c>
      <c r="C82" s="1">
        <v>1</v>
      </c>
      <c r="D82" s="1">
        <v>0</v>
      </c>
      <c r="E82" s="1">
        <v>2</v>
      </c>
      <c r="F82" s="1">
        <v>2</v>
      </c>
      <c r="G82" s="1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x14ac:dyDescent="0.3">
      <c r="A83" s="1">
        <v>692</v>
      </c>
      <c r="B83" s="3">
        <v>40575</v>
      </c>
      <c r="C83" s="1">
        <v>1</v>
      </c>
      <c r="D83" s="1">
        <v>0</v>
      </c>
      <c r="E83" s="1">
        <v>2</v>
      </c>
      <c r="F83" s="1">
        <v>3</v>
      </c>
      <c r="G83" s="1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x14ac:dyDescent="0.3">
      <c r="A84" s="1">
        <v>693</v>
      </c>
      <c r="B84" s="3">
        <v>40575</v>
      </c>
      <c r="C84" s="1">
        <v>1</v>
      </c>
      <c r="D84" s="1">
        <v>0</v>
      </c>
      <c r="E84" s="1">
        <v>2</v>
      </c>
      <c r="F84" s="1">
        <v>5</v>
      </c>
      <c r="G84" s="1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x14ac:dyDescent="0.3">
      <c r="A85" s="1">
        <v>694</v>
      </c>
      <c r="B85" s="3">
        <v>40575</v>
      </c>
      <c r="C85" s="1">
        <v>1</v>
      </c>
      <c r="D85" s="1">
        <v>0</v>
      </c>
      <c r="E85" s="1">
        <v>2</v>
      </c>
      <c r="F85" s="1">
        <v>6</v>
      </c>
      <c r="G85" s="1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x14ac:dyDescent="0.3">
      <c r="A86" s="1">
        <v>695</v>
      </c>
      <c r="B86" s="3">
        <v>40575</v>
      </c>
      <c r="C86" s="1">
        <v>1</v>
      </c>
      <c r="D86" s="1">
        <v>0</v>
      </c>
      <c r="E86" s="1">
        <v>2</v>
      </c>
      <c r="F86" s="1">
        <v>7</v>
      </c>
      <c r="G86" s="1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x14ac:dyDescent="0.3">
      <c r="A87" s="1">
        <v>696</v>
      </c>
      <c r="B87" s="3">
        <v>40575</v>
      </c>
      <c r="C87" s="1">
        <v>1</v>
      </c>
      <c r="D87" s="1">
        <v>0</v>
      </c>
      <c r="E87" s="1">
        <v>2</v>
      </c>
      <c r="F87" s="1">
        <v>8</v>
      </c>
      <c r="G87" s="1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x14ac:dyDescent="0.3">
      <c r="A88" s="1">
        <v>697</v>
      </c>
      <c r="B88" s="3">
        <v>40575</v>
      </c>
      <c r="C88" s="1">
        <v>1</v>
      </c>
      <c r="D88" s="1">
        <v>0</v>
      </c>
      <c r="E88" s="1">
        <v>2</v>
      </c>
      <c r="F88" s="1">
        <v>9</v>
      </c>
      <c r="G88" s="1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x14ac:dyDescent="0.3">
      <c r="A89" s="1">
        <v>698</v>
      </c>
      <c r="B89" s="3">
        <v>40575</v>
      </c>
      <c r="C89" s="1">
        <v>1</v>
      </c>
      <c r="D89" s="1">
        <v>0</v>
      </c>
      <c r="E89" s="1">
        <v>2</v>
      </c>
      <c r="F89" s="1">
        <v>10</v>
      </c>
      <c r="G89" s="1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x14ac:dyDescent="0.3">
      <c r="A90" s="1">
        <v>699</v>
      </c>
      <c r="B90" s="3">
        <v>40575</v>
      </c>
      <c r="C90" s="1">
        <v>1</v>
      </c>
      <c r="D90" s="1">
        <v>0</v>
      </c>
      <c r="E90" s="1">
        <v>2</v>
      </c>
      <c r="F90" s="1">
        <v>11</v>
      </c>
      <c r="G90" s="1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x14ac:dyDescent="0.3">
      <c r="A91" s="1">
        <v>700</v>
      </c>
      <c r="B91" s="3">
        <v>40575</v>
      </c>
      <c r="C91" s="1">
        <v>1</v>
      </c>
      <c r="D91" s="1">
        <v>0</v>
      </c>
      <c r="E91" s="1">
        <v>2</v>
      </c>
      <c r="F91" s="1">
        <v>12</v>
      </c>
      <c r="G91" s="1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x14ac:dyDescent="0.3">
      <c r="A92" s="1">
        <v>701</v>
      </c>
      <c r="B92" s="3">
        <v>40575</v>
      </c>
      <c r="C92" s="1">
        <v>1</v>
      </c>
      <c r="D92" s="1">
        <v>0</v>
      </c>
      <c r="E92" s="1">
        <v>2</v>
      </c>
      <c r="F92" s="1">
        <v>13</v>
      </c>
      <c r="G92" s="1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x14ac:dyDescent="0.3">
      <c r="A93" s="1">
        <v>702</v>
      </c>
      <c r="B93" s="3">
        <v>40575</v>
      </c>
      <c r="C93" s="1">
        <v>1</v>
      </c>
      <c r="D93" s="1">
        <v>0</v>
      </c>
      <c r="E93" s="1">
        <v>2</v>
      </c>
      <c r="F93" s="1">
        <v>14</v>
      </c>
      <c r="G93" s="1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x14ac:dyDescent="0.3">
      <c r="A94" s="1">
        <v>703</v>
      </c>
      <c r="B94" s="3">
        <v>40575</v>
      </c>
      <c r="C94" s="1">
        <v>1</v>
      </c>
      <c r="D94" s="1">
        <v>0</v>
      </c>
      <c r="E94" s="1">
        <v>2</v>
      </c>
      <c r="F94" s="1">
        <v>15</v>
      </c>
      <c r="G94" s="1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x14ac:dyDescent="0.3">
      <c r="A95" s="1">
        <v>704</v>
      </c>
      <c r="B95" s="3">
        <v>40575</v>
      </c>
      <c r="C95" s="1">
        <v>1</v>
      </c>
      <c r="D95" s="1">
        <v>0</v>
      </c>
      <c r="E95" s="1">
        <v>2</v>
      </c>
      <c r="F95" s="1">
        <v>16</v>
      </c>
      <c r="G95" s="1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x14ac:dyDescent="0.3">
      <c r="A96" s="1">
        <v>705</v>
      </c>
      <c r="B96" s="3">
        <v>40575</v>
      </c>
      <c r="C96" s="1">
        <v>1</v>
      </c>
      <c r="D96" s="1">
        <v>0</v>
      </c>
      <c r="E96" s="1">
        <v>2</v>
      </c>
      <c r="F96" s="1">
        <v>17</v>
      </c>
      <c r="G96" s="1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x14ac:dyDescent="0.3">
      <c r="A97" s="1">
        <v>706</v>
      </c>
      <c r="B97" s="3">
        <v>40575</v>
      </c>
      <c r="C97" s="1">
        <v>1</v>
      </c>
      <c r="D97" s="1">
        <v>0</v>
      </c>
      <c r="E97" s="1">
        <v>2</v>
      </c>
      <c r="F97" s="1">
        <v>18</v>
      </c>
      <c r="G97" s="1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x14ac:dyDescent="0.3">
      <c r="A98" s="1">
        <v>707</v>
      </c>
      <c r="B98" s="3">
        <v>40575</v>
      </c>
      <c r="C98" s="1">
        <v>1</v>
      </c>
      <c r="D98" s="1">
        <v>0</v>
      </c>
      <c r="E98" s="1">
        <v>2</v>
      </c>
      <c r="F98" s="1">
        <v>19</v>
      </c>
      <c r="G98" s="1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x14ac:dyDescent="0.3">
      <c r="A99" s="1">
        <v>708</v>
      </c>
      <c r="B99" s="3">
        <v>40575</v>
      </c>
      <c r="C99" s="1">
        <v>1</v>
      </c>
      <c r="D99" s="1">
        <v>0</v>
      </c>
      <c r="E99" s="1">
        <v>2</v>
      </c>
      <c r="F99" s="1">
        <v>20</v>
      </c>
      <c r="G99" s="1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x14ac:dyDescent="0.3">
      <c r="A100" s="1">
        <v>709</v>
      </c>
      <c r="B100" s="3">
        <v>40575</v>
      </c>
      <c r="C100" s="1">
        <v>1</v>
      </c>
      <c r="D100" s="1">
        <v>0</v>
      </c>
      <c r="E100" s="1">
        <v>2</v>
      </c>
      <c r="F100" s="1">
        <v>21</v>
      </c>
      <c r="G100" s="1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x14ac:dyDescent="0.3">
      <c r="A101" s="1">
        <v>710</v>
      </c>
      <c r="B101" s="3">
        <v>40575</v>
      </c>
      <c r="C101" s="1">
        <v>1</v>
      </c>
      <c r="D101" s="1">
        <v>0</v>
      </c>
      <c r="E101" s="1">
        <v>2</v>
      </c>
      <c r="F101" s="1">
        <v>22</v>
      </c>
      <c r="G101" s="1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x14ac:dyDescent="0.3">
      <c r="A102" s="1">
        <v>711</v>
      </c>
      <c r="B102" s="3">
        <v>40575</v>
      </c>
      <c r="C102" s="1">
        <v>1</v>
      </c>
      <c r="D102" s="1">
        <v>0</v>
      </c>
      <c r="E102" s="1">
        <v>2</v>
      </c>
      <c r="F102" s="1">
        <v>23</v>
      </c>
      <c r="G102" s="1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x14ac:dyDescent="0.3">
      <c r="A103" s="1">
        <v>712</v>
      </c>
      <c r="B103" s="3">
        <v>40576</v>
      </c>
      <c r="C103" s="1">
        <v>1</v>
      </c>
      <c r="D103" s="1">
        <v>0</v>
      </c>
      <c r="E103" s="1">
        <v>2</v>
      </c>
      <c r="F103" s="1">
        <v>0</v>
      </c>
      <c r="G103" s="1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x14ac:dyDescent="0.3">
      <c r="A104" s="1">
        <v>713</v>
      </c>
      <c r="B104" s="3">
        <v>40576</v>
      </c>
      <c r="C104" s="1">
        <v>1</v>
      </c>
      <c r="D104" s="1">
        <v>0</v>
      </c>
      <c r="E104" s="1">
        <v>2</v>
      </c>
      <c r="F104" s="1">
        <v>1</v>
      </c>
      <c r="G104" s="1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x14ac:dyDescent="0.3">
      <c r="A105" s="1">
        <v>714</v>
      </c>
      <c r="B105" s="3">
        <v>40576</v>
      </c>
      <c r="C105" s="1">
        <v>1</v>
      </c>
      <c r="D105" s="1">
        <v>0</v>
      </c>
      <c r="E105" s="1">
        <v>2</v>
      </c>
      <c r="F105" s="1">
        <v>2</v>
      </c>
      <c r="G105" s="1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x14ac:dyDescent="0.3">
      <c r="A106" s="1">
        <v>715</v>
      </c>
      <c r="B106" s="3">
        <v>40576</v>
      </c>
      <c r="C106" s="1">
        <v>1</v>
      </c>
      <c r="D106" s="1">
        <v>0</v>
      </c>
      <c r="E106" s="1">
        <v>2</v>
      </c>
      <c r="F106" s="1">
        <v>3</v>
      </c>
      <c r="G106" s="1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x14ac:dyDescent="0.3">
      <c r="A107" s="1">
        <v>716</v>
      </c>
      <c r="B107" s="3">
        <v>40576</v>
      </c>
      <c r="C107" s="1">
        <v>1</v>
      </c>
      <c r="D107" s="1">
        <v>0</v>
      </c>
      <c r="E107" s="1">
        <v>2</v>
      </c>
      <c r="F107" s="1">
        <v>4</v>
      </c>
      <c r="G107" s="1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x14ac:dyDescent="0.3">
      <c r="A108" s="1">
        <v>717</v>
      </c>
      <c r="B108" s="3">
        <v>40576</v>
      </c>
      <c r="C108" s="1">
        <v>1</v>
      </c>
      <c r="D108" s="1">
        <v>0</v>
      </c>
      <c r="E108" s="1">
        <v>2</v>
      </c>
      <c r="F108" s="1">
        <v>5</v>
      </c>
      <c r="G108" s="1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x14ac:dyDescent="0.3">
      <c r="A109" s="1">
        <v>718</v>
      </c>
      <c r="B109" s="3">
        <v>40576</v>
      </c>
      <c r="C109" s="1">
        <v>1</v>
      </c>
      <c r="D109" s="1">
        <v>0</v>
      </c>
      <c r="E109" s="1">
        <v>2</v>
      </c>
      <c r="F109" s="1">
        <v>6</v>
      </c>
      <c r="G109" s="1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x14ac:dyDescent="0.3">
      <c r="A110" s="1">
        <v>719</v>
      </c>
      <c r="B110" s="3">
        <v>40576</v>
      </c>
      <c r="C110" s="1">
        <v>1</v>
      </c>
      <c r="D110" s="1">
        <v>0</v>
      </c>
      <c r="E110" s="1">
        <v>2</v>
      </c>
      <c r="F110" s="1">
        <v>7</v>
      </c>
      <c r="G110" s="1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x14ac:dyDescent="0.3">
      <c r="A111" s="1">
        <v>720</v>
      </c>
      <c r="B111" s="3">
        <v>40576</v>
      </c>
      <c r="C111" s="1">
        <v>1</v>
      </c>
      <c r="D111" s="1">
        <v>0</v>
      </c>
      <c r="E111" s="1">
        <v>2</v>
      </c>
      <c r="F111" s="1">
        <v>8</v>
      </c>
      <c r="G111" s="1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x14ac:dyDescent="0.3">
      <c r="A112" s="1">
        <v>721</v>
      </c>
      <c r="B112" s="3">
        <v>40576</v>
      </c>
      <c r="C112" s="1">
        <v>1</v>
      </c>
      <c r="D112" s="1">
        <v>0</v>
      </c>
      <c r="E112" s="1">
        <v>2</v>
      </c>
      <c r="F112" s="1">
        <v>9</v>
      </c>
      <c r="G112" s="1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x14ac:dyDescent="0.3">
      <c r="A113" s="1">
        <v>722</v>
      </c>
      <c r="B113" s="3">
        <v>40576</v>
      </c>
      <c r="C113" s="1">
        <v>1</v>
      </c>
      <c r="D113" s="1">
        <v>0</v>
      </c>
      <c r="E113" s="1">
        <v>2</v>
      </c>
      <c r="F113" s="1">
        <v>10</v>
      </c>
      <c r="G113" s="1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x14ac:dyDescent="0.3">
      <c r="A114" s="1">
        <v>723</v>
      </c>
      <c r="B114" s="3">
        <v>40576</v>
      </c>
      <c r="C114" s="1">
        <v>1</v>
      </c>
      <c r="D114" s="1">
        <v>0</v>
      </c>
      <c r="E114" s="1">
        <v>2</v>
      </c>
      <c r="F114" s="1">
        <v>11</v>
      </c>
      <c r="G114" s="1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x14ac:dyDescent="0.3">
      <c r="A115" s="1">
        <v>724</v>
      </c>
      <c r="B115" s="3">
        <v>40576</v>
      </c>
      <c r="C115" s="1">
        <v>1</v>
      </c>
      <c r="D115" s="1">
        <v>0</v>
      </c>
      <c r="E115" s="1">
        <v>2</v>
      </c>
      <c r="F115" s="1">
        <v>12</v>
      </c>
      <c r="G115" s="1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x14ac:dyDescent="0.3">
      <c r="A116" s="1">
        <v>725</v>
      </c>
      <c r="B116" s="3">
        <v>40576</v>
      </c>
      <c r="C116" s="1">
        <v>1</v>
      </c>
      <c r="D116" s="1">
        <v>0</v>
      </c>
      <c r="E116" s="1">
        <v>2</v>
      </c>
      <c r="F116" s="1">
        <v>13</v>
      </c>
      <c r="G116" s="1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x14ac:dyDescent="0.3">
      <c r="A117" s="1">
        <v>726</v>
      </c>
      <c r="B117" s="3">
        <v>40576</v>
      </c>
      <c r="C117" s="1">
        <v>1</v>
      </c>
      <c r="D117" s="1">
        <v>0</v>
      </c>
      <c r="E117" s="1">
        <v>2</v>
      </c>
      <c r="F117" s="1">
        <v>14</v>
      </c>
      <c r="G117" s="1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x14ac:dyDescent="0.3">
      <c r="A118" s="1">
        <v>727</v>
      </c>
      <c r="B118" s="3">
        <v>40576</v>
      </c>
      <c r="C118" s="1">
        <v>1</v>
      </c>
      <c r="D118" s="1">
        <v>0</v>
      </c>
      <c r="E118" s="1">
        <v>2</v>
      </c>
      <c r="F118" s="1">
        <v>15</v>
      </c>
      <c r="G118" s="1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x14ac:dyDescent="0.3">
      <c r="A119" s="1">
        <v>728</v>
      </c>
      <c r="B119" s="3">
        <v>40576</v>
      </c>
      <c r="C119" s="1">
        <v>1</v>
      </c>
      <c r="D119" s="1">
        <v>0</v>
      </c>
      <c r="E119" s="1">
        <v>2</v>
      </c>
      <c r="F119" s="1">
        <v>16</v>
      </c>
      <c r="G119" s="1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x14ac:dyDescent="0.3">
      <c r="A120" s="1">
        <v>729</v>
      </c>
      <c r="B120" s="3">
        <v>40576</v>
      </c>
      <c r="C120" s="1">
        <v>1</v>
      </c>
      <c r="D120" s="1">
        <v>0</v>
      </c>
      <c r="E120" s="1">
        <v>2</v>
      </c>
      <c r="F120" s="1">
        <v>17</v>
      </c>
      <c r="G120" s="1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x14ac:dyDescent="0.3">
      <c r="A121" s="1">
        <v>730</v>
      </c>
      <c r="B121" s="3">
        <v>40576</v>
      </c>
      <c r="C121" s="1">
        <v>1</v>
      </c>
      <c r="D121" s="1">
        <v>0</v>
      </c>
      <c r="E121" s="1">
        <v>2</v>
      </c>
      <c r="F121" s="1">
        <v>18</v>
      </c>
      <c r="G121" s="1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x14ac:dyDescent="0.3">
      <c r="A122" s="1">
        <v>731</v>
      </c>
      <c r="B122" s="3">
        <v>40576</v>
      </c>
      <c r="C122" s="1">
        <v>1</v>
      </c>
      <c r="D122" s="1">
        <v>0</v>
      </c>
      <c r="E122" s="1">
        <v>2</v>
      </c>
      <c r="F122" s="1">
        <v>19</v>
      </c>
      <c r="G122" s="1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x14ac:dyDescent="0.3">
      <c r="A123" s="1">
        <v>732</v>
      </c>
      <c r="B123" s="3">
        <v>40576</v>
      </c>
      <c r="C123" s="1">
        <v>1</v>
      </c>
      <c r="D123" s="1">
        <v>0</v>
      </c>
      <c r="E123" s="1">
        <v>2</v>
      </c>
      <c r="F123" s="1">
        <v>20</v>
      </c>
      <c r="G123" s="1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x14ac:dyDescent="0.3">
      <c r="A124" s="1">
        <v>733</v>
      </c>
      <c r="B124" s="3">
        <v>40576</v>
      </c>
      <c r="C124" s="1">
        <v>1</v>
      </c>
      <c r="D124" s="1">
        <v>0</v>
      </c>
      <c r="E124" s="1">
        <v>2</v>
      </c>
      <c r="F124" s="1">
        <v>21</v>
      </c>
      <c r="G124" s="1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x14ac:dyDescent="0.3">
      <c r="A125" s="1">
        <v>734</v>
      </c>
      <c r="B125" s="3">
        <v>40576</v>
      </c>
      <c r="C125" s="1">
        <v>1</v>
      </c>
      <c r="D125" s="1">
        <v>0</v>
      </c>
      <c r="E125" s="1">
        <v>2</v>
      </c>
      <c r="F125" s="1">
        <v>22</v>
      </c>
      <c r="G125" s="1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x14ac:dyDescent="0.3">
      <c r="A126" s="1">
        <v>735</v>
      </c>
      <c r="B126" s="3">
        <v>40576</v>
      </c>
      <c r="C126" s="1">
        <v>1</v>
      </c>
      <c r="D126" s="1">
        <v>0</v>
      </c>
      <c r="E126" s="1">
        <v>2</v>
      </c>
      <c r="F126" s="1">
        <v>23</v>
      </c>
      <c r="G126" s="1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x14ac:dyDescent="0.3">
      <c r="A127" s="1">
        <v>736</v>
      </c>
      <c r="B127" s="3">
        <v>40577</v>
      </c>
      <c r="C127" s="1">
        <v>1</v>
      </c>
      <c r="D127" s="1">
        <v>0</v>
      </c>
      <c r="E127" s="1">
        <v>2</v>
      </c>
      <c r="F127" s="1">
        <v>0</v>
      </c>
      <c r="G127" s="1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x14ac:dyDescent="0.3">
      <c r="A128" s="1">
        <v>737</v>
      </c>
      <c r="B128" s="3">
        <v>40577</v>
      </c>
      <c r="C128" s="1">
        <v>1</v>
      </c>
      <c r="D128" s="1">
        <v>0</v>
      </c>
      <c r="E128" s="1">
        <v>2</v>
      </c>
      <c r="F128" s="1">
        <v>1</v>
      </c>
      <c r="G128" s="1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x14ac:dyDescent="0.3">
      <c r="A129" s="1">
        <v>738</v>
      </c>
      <c r="B129" s="3">
        <v>40577</v>
      </c>
      <c r="C129" s="1">
        <v>1</v>
      </c>
      <c r="D129" s="1">
        <v>0</v>
      </c>
      <c r="E129" s="1">
        <v>2</v>
      </c>
      <c r="F129" s="1">
        <v>2</v>
      </c>
      <c r="G129" s="1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x14ac:dyDescent="0.3">
      <c r="A130" s="1">
        <v>739</v>
      </c>
      <c r="B130" s="3">
        <v>40577</v>
      </c>
      <c r="C130" s="1">
        <v>1</v>
      </c>
      <c r="D130" s="1">
        <v>0</v>
      </c>
      <c r="E130" s="1">
        <v>2</v>
      </c>
      <c r="F130" s="1">
        <v>3</v>
      </c>
      <c r="G130" s="1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x14ac:dyDescent="0.3">
      <c r="A131" s="1">
        <v>740</v>
      </c>
      <c r="B131" s="3">
        <v>40577</v>
      </c>
      <c r="C131" s="1">
        <v>1</v>
      </c>
      <c r="D131" s="1">
        <v>0</v>
      </c>
      <c r="E131" s="1">
        <v>2</v>
      </c>
      <c r="F131" s="1">
        <v>5</v>
      </c>
      <c r="G131" s="1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x14ac:dyDescent="0.3">
      <c r="A132" s="1">
        <v>741</v>
      </c>
      <c r="B132" s="3">
        <v>40577</v>
      </c>
      <c r="C132" s="1">
        <v>1</v>
      </c>
      <c r="D132" s="1">
        <v>0</v>
      </c>
      <c r="E132" s="1">
        <v>2</v>
      </c>
      <c r="F132" s="1">
        <v>6</v>
      </c>
      <c r="G132" s="1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x14ac:dyDescent="0.3">
      <c r="A133" s="1">
        <v>742</v>
      </c>
      <c r="B133" s="3">
        <v>40577</v>
      </c>
      <c r="C133" s="1">
        <v>1</v>
      </c>
      <c r="D133" s="1">
        <v>0</v>
      </c>
      <c r="E133" s="1">
        <v>2</v>
      </c>
      <c r="F133" s="1">
        <v>7</v>
      </c>
      <c r="G133" s="1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x14ac:dyDescent="0.3">
      <c r="A134" s="1">
        <v>743</v>
      </c>
      <c r="B134" s="3">
        <v>40577</v>
      </c>
      <c r="C134" s="1">
        <v>1</v>
      </c>
      <c r="D134" s="1">
        <v>0</v>
      </c>
      <c r="E134" s="1">
        <v>2</v>
      </c>
      <c r="F134" s="1">
        <v>8</v>
      </c>
      <c r="G134" s="1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x14ac:dyDescent="0.3">
      <c r="A135" s="1">
        <v>744</v>
      </c>
      <c r="B135" s="3">
        <v>40577</v>
      </c>
      <c r="C135" s="1">
        <v>1</v>
      </c>
      <c r="D135" s="1">
        <v>0</v>
      </c>
      <c r="E135" s="1">
        <v>2</v>
      </c>
      <c r="F135" s="1">
        <v>9</v>
      </c>
      <c r="G135" s="1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x14ac:dyDescent="0.3">
      <c r="A136" s="1">
        <v>745</v>
      </c>
      <c r="B136" s="3">
        <v>40577</v>
      </c>
      <c r="C136" s="1">
        <v>1</v>
      </c>
      <c r="D136" s="1">
        <v>0</v>
      </c>
      <c r="E136" s="1">
        <v>2</v>
      </c>
      <c r="F136" s="1">
        <v>10</v>
      </c>
      <c r="G136" s="1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x14ac:dyDescent="0.3">
      <c r="A137" s="1">
        <v>746</v>
      </c>
      <c r="B137" s="3">
        <v>40577</v>
      </c>
      <c r="C137" s="1">
        <v>1</v>
      </c>
      <c r="D137" s="1">
        <v>0</v>
      </c>
      <c r="E137" s="1">
        <v>2</v>
      </c>
      <c r="F137" s="1">
        <v>11</v>
      </c>
      <c r="G137" s="1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x14ac:dyDescent="0.3">
      <c r="A138" s="1">
        <v>747</v>
      </c>
      <c r="B138" s="3">
        <v>40577</v>
      </c>
      <c r="C138" s="1">
        <v>1</v>
      </c>
      <c r="D138" s="1">
        <v>0</v>
      </c>
      <c r="E138" s="1">
        <v>2</v>
      </c>
      <c r="F138" s="1">
        <v>12</v>
      </c>
      <c r="G138" s="1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x14ac:dyDescent="0.3">
      <c r="A139" s="1">
        <v>748</v>
      </c>
      <c r="B139" s="3">
        <v>40577</v>
      </c>
      <c r="C139" s="1">
        <v>1</v>
      </c>
      <c r="D139" s="1">
        <v>0</v>
      </c>
      <c r="E139" s="1">
        <v>2</v>
      </c>
      <c r="F139" s="1">
        <v>13</v>
      </c>
      <c r="G139" s="1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x14ac:dyDescent="0.3">
      <c r="A140" s="1">
        <v>749</v>
      </c>
      <c r="B140" s="3">
        <v>40577</v>
      </c>
      <c r="C140" s="1">
        <v>1</v>
      </c>
      <c r="D140" s="1">
        <v>0</v>
      </c>
      <c r="E140" s="1">
        <v>2</v>
      </c>
      <c r="F140" s="1">
        <v>14</v>
      </c>
      <c r="G140" s="1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x14ac:dyDescent="0.3">
      <c r="A141" s="1">
        <v>750</v>
      </c>
      <c r="B141" s="3">
        <v>40577</v>
      </c>
      <c r="C141" s="1">
        <v>1</v>
      </c>
      <c r="D141" s="1">
        <v>0</v>
      </c>
      <c r="E141" s="1">
        <v>2</v>
      </c>
      <c r="F141" s="1">
        <v>15</v>
      </c>
      <c r="G141" s="1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x14ac:dyDescent="0.3">
      <c r="A142" s="1">
        <v>751</v>
      </c>
      <c r="B142" s="3">
        <v>40577</v>
      </c>
      <c r="C142" s="1">
        <v>1</v>
      </c>
      <c r="D142" s="1">
        <v>0</v>
      </c>
      <c r="E142" s="1">
        <v>2</v>
      </c>
      <c r="F142" s="1">
        <v>16</v>
      </c>
      <c r="G142" s="1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x14ac:dyDescent="0.3">
      <c r="A143" s="1">
        <v>752</v>
      </c>
      <c r="B143" s="3">
        <v>40577</v>
      </c>
      <c r="C143" s="1">
        <v>1</v>
      </c>
      <c r="D143" s="1">
        <v>0</v>
      </c>
      <c r="E143" s="1">
        <v>2</v>
      </c>
      <c r="F143" s="1">
        <v>17</v>
      </c>
      <c r="G143" s="1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x14ac:dyDescent="0.3">
      <c r="A144" s="1">
        <v>753</v>
      </c>
      <c r="B144" s="3">
        <v>40577</v>
      </c>
      <c r="C144" s="1">
        <v>1</v>
      </c>
      <c r="D144" s="1">
        <v>0</v>
      </c>
      <c r="E144" s="1">
        <v>2</v>
      </c>
      <c r="F144" s="1">
        <v>18</v>
      </c>
      <c r="G144" s="1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x14ac:dyDescent="0.3">
      <c r="A145" s="1">
        <v>754</v>
      </c>
      <c r="B145" s="3">
        <v>40577</v>
      </c>
      <c r="C145" s="1">
        <v>1</v>
      </c>
      <c r="D145" s="1">
        <v>0</v>
      </c>
      <c r="E145" s="1">
        <v>2</v>
      </c>
      <c r="F145" s="1">
        <v>19</v>
      </c>
      <c r="G145" s="1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x14ac:dyDescent="0.3">
      <c r="A146" s="1">
        <v>755</v>
      </c>
      <c r="B146" s="3">
        <v>40577</v>
      </c>
      <c r="C146" s="1">
        <v>1</v>
      </c>
      <c r="D146" s="1">
        <v>0</v>
      </c>
      <c r="E146" s="1">
        <v>2</v>
      </c>
      <c r="F146" s="1">
        <v>20</v>
      </c>
      <c r="G146" s="1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x14ac:dyDescent="0.3">
      <c r="A147" s="1">
        <v>756</v>
      </c>
      <c r="B147" s="3">
        <v>40577</v>
      </c>
      <c r="C147" s="1">
        <v>1</v>
      </c>
      <c r="D147" s="1">
        <v>0</v>
      </c>
      <c r="E147" s="1">
        <v>2</v>
      </c>
      <c r="F147" s="1">
        <v>21</v>
      </c>
      <c r="G147" s="1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x14ac:dyDescent="0.3">
      <c r="A148" s="1">
        <v>757</v>
      </c>
      <c r="B148" s="3">
        <v>40577</v>
      </c>
      <c r="C148" s="1">
        <v>1</v>
      </c>
      <c r="D148" s="1">
        <v>0</v>
      </c>
      <c r="E148" s="1">
        <v>2</v>
      </c>
      <c r="F148" s="1">
        <v>22</v>
      </c>
      <c r="G148" s="1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x14ac:dyDescent="0.3">
      <c r="A149" s="1">
        <v>758</v>
      </c>
      <c r="B149" s="3">
        <v>40577</v>
      </c>
      <c r="C149" s="1">
        <v>1</v>
      </c>
      <c r="D149" s="1">
        <v>0</v>
      </c>
      <c r="E149" s="1">
        <v>2</v>
      </c>
      <c r="F149" s="1">
        <v>23</v>
      </c>
      <c r="G149" s="1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x14ac:dyDescent="0.3">
      <c r="A150" s="1">
        <v>759</v>
      </c>
      <c r="B150" s="3">
        <v>40578</v>
      </c>
      <c r="C150" s="1">
        <v>1</v>
      </c>
      <c r="D150" s="1">
        <v>0</v>
      </c>
      <c r="E150" s="1">
        <v>2</v>
      </c>
      <c r="F150" s="1">
        <v>0</v>
      </c>
      <c r="G150" s="1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x14ac:dyDescent="0.3">
      <c r="A151" s="1">
        <v>760</v>
      </c>
      <c r="B151" s="3">
        <v>40578</v>
      </c>
      <c r="C151" s="1">
        <v>1</v>
      </c>
      <c r="D151" s="1">
        <v>0</v>
      </c>
      <c r="E151" s="1">
        <v>2</v>
      </c>
      <c r="F151" s="1">
        <v>1</v>
      </c>
      <c r="G151" s="1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x14ac:dyDescent="0.3">
      <c r="A152" s="1">
        <v>761</v>
      </c>
      <c r="B152" s="3">
        <v>40578</v>
      </c>
      <c r="C152" s="1">
        <v>1</v>
      </c>
      <c r="D152" s="1">
        <v>0</v>
      </c>
      <c r="E152" s="1">
        <v>2</v>
      </c>
      <c r="F152" s="1">
        <v>2</v>
      </c>
      <c r="G152" s="1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x14ac:dyDescent="0.3">
      <c r="A153" s="1">
        <v>762</v>
      </c>
      <c r="B153" s="3">
        <v>40578</v>
      </c>
      <c r="C153" s="1">
        <v>1</v>
      </c>
      <c r="D153" s="1">
        <v>0</v>
      </c>
      <c r="E153" s="1">
        <v>2</v>
      </c>
      <c r="F153" s="1">
        <v>3</v>
      </c>
      <c r="G153" s="1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x14ac:dyDescent="0.3">
      <c r="A154" s="1">
        <v>763</v>
      </c>
      <c r="B154" s="3">
        <v>40578</v>
      </c>
      <c r="C154" s="1">
        <v>1</v>
      </c>
      <c r="D154" s="1">
        <v>0</v>
      </c>
      <c r="E154" s="1">
        <v>2</v>
      </c>
      <c r="F154" s="1">
        <v>5</v>
      </c>
      <c r="G154" s="1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x14ac:dyDescent="0.3">
      <c r="A155" s="1">
        <v>764</v>
      </c>
      <c r="B155" s="3">
        <v>40578</v>
      </c>
      <c r="C155" s="1">
        <v>1</v>
      </c>
      <c r="D155" s="1">
        <v>0</v>
      </c>
      <c r="E155" s="1">
        <v>2</v>
      </c>
      <c r="F155" s="1">
        <v>6</v>
      </c>
      <c r="G155" s="1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x14ac:dyDescent="0.3">
      <c r="A156" s="1">
        <v>765</v>
      </c>
      <c r="B156" s="3">
        <v>40578</v>
      </c>
      <c r="C156" s="1">
        <v>1</v>
      </c>
      <c r="D156" s="1">
        <v>0</v>
      </c>
      <c r="E156" s="1">
        <v>2</v>
      </c>
      <c r="F156" s="1">
        <v>7</v>
      </c>
      <c r="G156" s="1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x14ac:dyDescent="0.3">
      <c r="A157" s="1">
        <v>766</v>
      </c>
      <c r="B157" s="3">
        <v>40578</v>
      </c>
      <c r="C157" s="1">
        <v>1</v>
      </c>
      <c r="D157" s="1">
        <v>0</v>
      </c>
      <c r="E157" s="1">
        <v>2</v>
      </c>
      <c r="F157" s="1">
        <v>8</v>
      </c>
      <c r="G157" s="1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x14ac:dyDescent="0.3">
      <c r="A158" s="1">
        <v>767</v>
      </c>
      <c r="B158" s="3">
        <v>40578</v>
      </c>
      <c r="C158" s="1">
        <v>1</v>
      </c>
      <c r="D158" s="1">
        <v>0</v>
      </c>
      <c r="E158" s="1">
        <v>2</v>
      </c>
      <c r="F158" s="1">
        <v>9</v>
      </c>
      <c r="G158" s="1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x14ac:dyDescent="0.3">
      <c r="A159" s="1">
        <v>768</v>
      </c>
      <c r="B159" s="3">
        <v>40578</v>
      </c>
      <c r="C159" s="1">
        <v>1</v>
      </c>
      <c r="D159" s="1">
        <v>0</v>
      </c>
      <c r="E159" s="1">
        <v>2</v>
      </c>
      <c r="F159" s="1">
        <v>10</v>
      </c>
      <c r="G159" s="1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x14ac:dyDescent="0.3">
      <c r="A160" s="1">
        <v>769</v>
      </c>
      <c r="B160" s="3">
        <v>40578</v>
      </c>
      <c r="C160" s="1">
        <v>1</v>
      </c>
      <c r="D160" s="1">
        <v>0</v>
      </c>
      <c r="E160" s="1">
        <v>2</v>
      </c>
      <c r="F160" s="1">
        <v>11</v>
      </c>
      <c r="G160" s="1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x14ac:dyDescent="0.3">
      <c r="A161" s="1">
        <v>770</v>
      </c>
      <c r="B161" s="3">
        <v>40578</v>
      </c>
      <c r="C161" s="1">
        <v>1</v>
      </c>
      <c r="D161" s="1">
        <v>0</v>
      </c>
      <c r="E161" s="1">
        <v>2</v>
      </c>
      <c r="F161" s="1">
        <v>12</v>
      </c>
      <c r="G161" s="1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x14ac:dyDescent="0.3">
      <c r="A162" s="1">
        <v>771</v>
      </c>
      <c r="B162" s="3">
        <v>40578</v>
      </c>
      <c r="C162" s="1">
        <v>1</v>
      </c>
      <c r="D162" s="1">
        <v>0</v>
      </c>
      <c r="E162" s="1">
        <v>2</v>
      </c>
      <c r="F162" s="1">
        <v>13</v>
      </c>
      <c r="G162" s="1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x14ac:dyDescent="0.3">
      <c r="A163" s="1">
        <v>772</v>
      </c>
      <c r="B163" s="3">
        <v>40578</v>
      </c>
      <c r="C163" s="1">
        <v>1</v>
      </c>
      <c r="D163" s="1">
        <v>0</v>
      </c>
      <c r="E163" s="1">
        <v>2</v>
      </c>
      <c r="F163" s="1">
        <v>14</v>
      </c>
      <c r="G163" s="1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x14ac:dyDescent="0.3">
      <c r="A164" s="1">
        <v>773</v>
      </c>
      <c r="B164" s="3">
        <v>40578</v>
      </c>
      <c r="C164" s="1">
        <v>1</v>
      </c>
      <c r="D164" s="1">
        <v>0</v>
      </c>
      <c r="E164" s="1">
        <v>2</v>
      </c>
      <c r="F164" s="1">
        <v>15</v>
      </c>
      <c r="G164" s="1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x14ac:dyDescent="0.3">
      <c r="A165" s="1">
        <v>774</v>
      </c>
      <c r="B165" s="3">
        <v>40578</v>
      </c>
      <c r="C165" s="1">
        <v>1</v>
      </c>
      <c r="D165" s="1">
        <v>0</v>
      </c>
      <c r="E165" s="1">
        <v>2</v>
      </c>
      <c r="F165" s="1">
        <v>16</v>
      </c>
      <c r="G165" s="1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x14ac:dyDescent="0.3">
      <c r="A166" s="1">
        <v>775</v>
      </c>
      <c r="B166" s="3">
        <v>40578</v>
      </c>
      <c r="C166" s="1">
        <v>1</v>
      </c>
      <c r="D166" s="1">
        <v>0</v>
      </c>
      <c r="E166" s="1">
        <v>2</v>
      </c>
      <c r="F166" s="1">
        <v>17</v>
      </c>
      <c r="G166" s="1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x14ac:dyDescent="0.3">
      <c r="A167" s="1">
        <v>776</v>
      </c>
      <c r="B167" s="3">
        <v>40578</v>
      </c>
      <c r="C167" s="1">
        <v>1</v>
      </c>
      <c r="D167" s="1">
        <v>0</v>
      </c>
      <c r="E167" s="1">
        <v>2</v>
      </c>
      <c r="F167" s="1">
        <v>18</v>
      </c>
      <c r="G167" s="1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x14ac:dyDescent="0.3">
      <c r="A168" s="1">
        <v>777</v>
      </c>
      <c r="B168" s="3">
        <v>40578</v>
      </c>
      <c r="C168" s="1">
        <v>1</v>
      </c>
      <c r="D168" s="1">
        <v>0</v>
      </c>
      <c r="E168" s="1">
        <v>2</v>
      </c>
      <c r="F168" s="1">
        <v>19</v>
      </c>
      <c r="G168" s="1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x14ac:dyDescent="0.3">
      <c r="A169" s="1">
        <v>778</v>
      </c>
      <c r="B169" s="3">
        <v>40578</v>
      </c>
      <c r="C169" s="1">
        <v>1</v>
      </c>
      <c r="D169" s="1">
        <v>0</v>
      </c>
      <c r="E169" s="1">
        <v>2</v>
      </c>
      <c r="F169" s="1">
        <v>20</v>
      </c>
      <c r="G169" s="1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x14ac:dyDescent="0.3">
      <c r="A170" s="1">
        <v>779</v>
      </c>
      <c r="B170" s="3">
        <v>40578</v>
      </c>
      <c r="C170" s="1">
        <v>1</v>
      </c>
      <c r="D170" s="1">
        <v>0</v>
      </c>
      <c r="E170" s="1">
        <v>2</v>
      </c>
      <c r="F170" s="1">
        <v>21</v>
      </c>
      <c r="G170" s="1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x14ac:dyDescent="0.3">
      <c r="A171" s="1">
        <v>780</v>
      </c>
      <c r="B171" s="3">
        <v>40578</v>
      </c>
      <c r="C171" s="1">
        <v>1</v>
      </c>
      <c r="D171" s="1">
        <v>0</v>
      </c>
      <c r="E171" s="1">
        <v>2</v>
      </c>
      <c r="F171" s="1">
        <v>22</v>
      </c>
      <c r="G171" s="1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x14ac:dyDescent="0.3">
      <c r="A172" s="1">
        <v>781</v>
      </c>
      <c r="B172" s="3">
        <v>40578</v>
      </c>
      <c r="C172" s="1">
        <v>1</v>
      </c>
      <c r="D172" s="1">
        <v>0</v>
      </c>
      <c r="E172" s="1">
        <v>2</v>
      </c>
      <c r="F172" s="1">
        <v>23</v>
      </c>
      <c r="G172" s="1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x14ac:dyDescent="0.3">
      <c r="A173" s="1">
        <v>782</v>
      </c>
      <c r="B173" s="3">
        <v>40579</v>
      </c>
      <c r="C173" s="1">
        <v>1</v>
      </c>
      <c r="D173" s="1">
        <v>0</v>
      </c>
      <c r="E173" s="1">
        <v>2</v>
      </c>
      <c r="F173" s="1">
        <v>0</v>
      </c>
      <c r="G173" s="1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x14ac:dyDescent="0.3">
      <c r="A174" s="1">
        <v>783</v>
      </c>
      <c r="B174" s="3">
        <v>40579</v>
      </c>
      <c r="C174" s="1">
        <v>1</v>
      </c>
      <c r="D174" s="1">
        <v>0</v>
      </c>
      <c r="E174" s="1">
        <v>2</v>
      </c>
      <c r="F174" s="1">
        <v>1</v>
      </c>
      <c r="G174" s="1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x14ac:dyDescent="0.3">
      <c r="A175" s="1">
        <v>784</v>
      </c>
      <c r="B175" s="3">
        <v>40579</v>
      </c>
      <c r="C175" s="1">
        <v>1</v>
      </c>
      <c r="D175" s="1">
        <v>0</v>
      </c>
      <c r="E175" s="1">
        <v>2</v>
      </c>
      <c r="F175" s="1">
        <v>2</v>
      </c>
      <c r="G175" s="1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x14ac:dyDescent="0.3">
      <c r="A176" s="1">
        <v>785</v>
      </c>
      <c r="B176" s="3">
        <v>40579</v>
      </c>
      <c r="C176" s="1">
        <v>1</v>
      </c>
      <c r="D176" s="1">
        <v>0</v>
      </c>
      <c r="E176" s="1">
        <v>2</v>
      </c>
      <c r="F176" s="1">
        <v>3</v>
      </c>
      <c r="G176" s="1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x14ac:dyDescent="0.3">
      <c r="A177" s="1">
        <v>786</v>
      </c>
      <c r="B177" s="3">
        <v>40579</v>
      </c>
      <c r="C177" s="1">
        <v>1</v>
      </c>
      <c r="D177" s="1">
        <v>0</v>
      </c>
      <c r="E177" s="1">
        <v>2</v>
      </c>
      <c r="F177" s="1">
        <v>4</v>
      </c>
      <c r="G177" s="1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x14ac:dyDescent="0.3">
      <c r="A178" s="1">
        <v>787</v>
      </c>
      <c r="B178" s="3">
        <v>40579</v>
      </c>
      <c r="C178" s="1">
        <v>1</v>
      </c>
      <c r="D178" s="1">
        <v>0</v>
      </c>
      <c r="E178" s="1">
        <v>2</v>
      </c>
      <c r="F178" s="1">
        <v>5</v>
      </c>
      <c r="G178" s="1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x14ac:dyDescent="0.3">
      <c r="A179" s="1">
        <v>788</v>
      </c>
      <c r="B179" s="3">
        <v>40579</v>
      </c>
      <c r="C179" s="1">
        <v>1</v>
      </c>
      <c r="D179" s="1">
        <v>0</v>
      </c>
      <c r="E179" s="1">
        <v>2</v>
      </c>
      <c r="F179" s="1">
        <v>6</v>
      </c>
      <c r="G179" s="1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x14ac:dyDescent="0.3">
      <c r="A180" s="1">
        <v>789</v>
      </c>
      <c r="B180" s="3">
        <v>40579</v>
      </c>
      <c r="C180" s="1">
        <v>1</v>
      </c>
      <c r="D180" s="1">
        <v>0</v>
      </c>
      <c r="E180" s="1">
        <v>2</v>
      </c>
      <c r="F180" s="1">
        <v>7</v>
      </c>
      <c r="G180" s="1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x14ac:dyDescent="0.3">
      <c r="A181" s="1">
        <v>790</v>
      </c>
      <c r="B181" s="3">
        <v>40579</v>
      </c>
      <c r="C181" s="1">
        <v>1</v>
      </c>
      <c r="D181" s="1">
        <v>0</v>
      </c>
      <c r="E181" s="1">
        <v>2</v>
      </c>
      <c r="F181" s="1">
        <v>8</v>
      </c>
      <c r="G181" s="1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x14ac:dyDescent="0.3">
      <c r="A182" s="1">
        <v>791</v>
      </c>
      <c r="B182" s="3">
        <v>40579</v>
      </c>
      <c r="C182" s="1">
        <v>1</v>
      </c>
      <c r="D182" s="1">
        <v>0</v>
      </c>
      <c r="E182" s="1">
        <v>2</v>
      </c>
      <c r="F182" s="1">
        <v>9</v>
      </c>
      <c r="G182" s="1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x14ac:dyDescent="0.3">
      <c r="A183" s="1">
        <v>792</v>
      </c>
      <c r="B183" s="3">
        <v>40579</v>
      </c>
      <c r="C183" s="1">
        <v>1</v>
      </c>
      <c r="D183" s="1">
        <v>0</v>
      </c>
      <c r="E183" s="1">
        <v>2</v>
      </c>
      <c r="F183" s="1">
        <v>10</v>
      </c>
      <c r="G183" s="1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x14ac:dyDescent="0.3">
      <c r="A184" s="1">
        <v>793</v>
      </c>
      <c r="B184" s="3">
        <v>40579</v>
      </c>
      <c r="C184" s="1">
        <v>1</v>
      </c>
      <c r="D184" s="1">
        <v>0</v>
      </c>
      <c r="E184" s="1">
        <v>2</v>
      </c>
      <c r="F184" s="1">
        <v>11</v>
      </c>
      <c r="G184" s="1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x14ac:dyDescent="0.3">
      <c r="A185" s="1">
        <v>794</v>
      </c>
      <c r="B185" s="3">
        <v>40579</v>
      </c>
      <c r="C185" s="1">
        <v>1</v>
      </c>
      <c r="D185" s="1">
        <v>0</v>
      </c>
      <c r="E185" s="1">
        <v>2</v>
      </c>
      <c r="F185" s="1">
        <v>12</v>
      </c>
      <c r="G185" s="1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x14ac:dyDescent="0.3">
      <c r="A186" s="1">
        <v>795</v>
      </c>
      <c r="B186" s="3">
        <v>40579</v>
      </c>
      <c r="C186" s="1">
        <v>1</v>
      </c>
      <c r="D186" s="1">
        <v>0</v>
      </c>
      <c r="E186" s="1">
        <v>2</v>
      </c>
      <c r="F186" s="1">
        <v>13</v>
      </c>
      <c r="G186" s="1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x14ac:dyDescent="0.3">
      <c r="A187" s="1">
        <v>796</v>
      </c>
      <c r="B187" s="3">
        <v>40579</v>
      </c>
      <c r="C187" s="1">
        <v>1</v>
      </c>
      <c r="D187" s="1">
        <v>0</v>
      </c>
      <c r="E187" s="1">
        <v>2</v>
      </c>
      <c r="F187" s="1">
        <v>14</v>
      </c>
      <c r="G187" s="1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x14ac:dyDescent="0.3">
      <c r="A188" s="1">
        <v>797</v>
      </c>
      <c r="B188" s="3">
        <v>40579</v>
      </c>
      <c r="C188" s="1">
        <v>1</v>
      </c>
      <c r="D188" s="1">
        <v>0</v>
      </c>
      <c r="E188" s="1">
        <v>2</v>
      </c>
      <c r="F188" s="1">
        <v>15</v>
      </c>
      <c r="G188" s="1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x14ac:dyDescent="0.3">
      <c r="A189" s="1">
        <v>798</v>
      </c>
      <c r="B189" s="3">
        <v>40579</v>
      </c>
      <c r="C189" s="1">
        <v>1</v>
      </c>
      <c r="D189" s="1">
        <v>0</v>
      </c>
      <c r="E189" s="1">
        <v>2</v>
      </c>
      <c r="F189" s="1">
        <v>16</v>
      </c>
      <c r="G189" s="1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x14ac:dyDescent="0.3">
      <c r="A190" s="1">
        <v>799</v>
      </c>
      <c r="B190" s="3">
        <v>40579</v>
      </c>
      <c r="C190" s="1">
        <v>1</v>
      </c>
      <c r="D190" s="1">
        <v>0</v>
      </c>
      <c r="E190" s="1">
        <v>2</v>
      </c>
      <c r="F190" s="1">
        <v>17</v>
      </c>
      <c r="G190" s="1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x14ac:dyDescent="0.3">
      <c r="A191" s="1">
        <v>800</v>
      </c>
      <c r="B191" s="3">
        <v>40579</v>
      </c>
      <c r="C191" s="1">
        <v>1</v>
      </c>
      <c r="D191" s="1">
        <v>0</v>
      </c>
      <c r="E191" s="1">
        <v>2</v>
      </c>
      <c r="F191" s="1">
        <v>18</v>
      </c>
      <c r="G191" s="1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x14ac:dyDescent="0.3">
      <c r="A192" s="1">
        <v>801</v>
      </c>
      <c r="B192" s="3">
        <v>40579</v>
      </c>
      <c r="C192" s="1">
        <v>1</v>
      </c>
      <c r="D192" s="1">
        <v>0</v>
      </c>
      <c r="E192" s="1">
        <v>2</v>
      </c>
      <c r="F192" s="1">
        <v>19</v>
      </c>
      <c r="G192" s="1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x14ac:dyDescent="0.3">
      <c r="A193" s="1">
        <v>802</v>
      </c>
      <c r="B193" s="3">
        <v>40579</v>
      </c>
      <c r="C193" s="1">
        <v>1</v>
      </c>
      <c r="D193" s="1">
        <v>0</v>
      </c>
      <c r="E193" s="1">
        <v>2</v>
      </c>
      <c r="F193" s="1">
        <v>20</v>
      </c>
      <c r="G193" s="1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x14ac:dyDescent="0.3">
      <c r="A194" s="1">
        <v>803</v>
      </c>
      <c r="B194" s="3">
        <v>40579</v>
      </c>
      <c r="C194" s="1">
        <v>1</v>
      </c>
      <c r="D194" s="1">
        <v>0</v>
      </c>
      <c r="E194" s="1">
        <v>2</v>
      </c>
      <c r="F194" s="1">
        <v>21</v>
      </c>
      <c r="G194" s="1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x14ac:dyDescent="0.3">
      <c r="A195" s="1">
        <v>804</v>
      </c>
      <c r="B195" s="3">
        <v>40579</v>
      </c>
      <c r="C195" s="1">
        <v>1</v>
      </c>
      <c r="D195" s="1">
        <v>0</v>
      </c>
      <c r="E195" s="1">
        <v>2</v>
      </c>
      <c r="F195" s="1">
        <v>22</v>
      </c>
      <c r="G195" s="1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x14ac:dyDescent="0.3">
      <c r="A196" s="1">
        <v>805</v>
      </c>
      <c r="B196" s="3">
        <v>40579</v>
      </c>
      <c r="C196" s="1">
        <v>1</v>
      </c>
      <c r="D196" s="1">
        <v>0</v>
      </c>
      <c r="E196" s="1">
        <v>2</v>
      </c>
      <c r="F196" s="1">
        <v>23</v>
      </c>
      <c r="G196" s="1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x14ac:dyDescent="0.3">
      <c r="A197" s="1">
        <v>806</v>
      </c>
      <c r="B197" s="3">
        <v>40580</v>
      </c>
      <c r="C197" s="1">
        <v>1</v>
      </c>
      <c r="D197" s="1">
        <v>0</v>
      </c>
      <c r="E197" s="1">
        <v>2</v>
      </c>
      <c r="F197" s="1">
        <v>0</v>
      </c>
      <c r="G197" s="1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x14ac:dyDescent="0.3">
      <c r="A198" s="1">
        <v>807</v>
      </c>
      <c r="B198" s="3">
        <v>40580</v>
      </c>
      <c r="C198" s="1">
        <v>1</v>
      </c>
      <c r="D198" s="1">
        <v>0</v>
      </c>
      <c r="E198" s="1">
        <v>2</v>
      </c>
      <c r="F198" s="1">
        <v>1</v>
      </c>
      <c r="G198" s="1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x14ac:dyDescent="0.3">
      <c r="A199" s="1">
        <v>808</v>
      </c>
      <c r="B199" s="3">
        <v>40580</v>
      </c>
      <c r="C199" s="1">
        <v>1</v>
      </c>
      <c r="D199" s="1">
        <v>0</v>
      </c>
      <c r="E199" s="1">
        <v>2</v>
      </c>
      <c r="F199" s="1">
        <v>2</v>
      </c>
      <c r="G199" s="1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x14ac:dyDescent="0.3">
      <c r="A200" s="1">
        <v>809</v>
      </c>
      <c r="B200" s="3">
        <v>40580</v>
      </c>
      <c r="C200" s="1">
        <v>1</v>
      </c>
      <c r="D200" s="1">
        <v>0</v>
      </c>
      <c r="E200" s="1">
        <v>2</v>
      </c>
      <c r="F200" s="1">
        <v>3</v>
      </c>
      <c r="G200" s="1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x14ac:dyDescent="0.3">
      <c r="A201" s="1">
        <v>810</v>
      </c>
      <c r="B201" s="3">
        <v>40580</v>
      </c>
      <c r="C201" s="1">
        <v>1</v>
      </c>
      <c r="D201" s="1">
        <v>0</v>
      </c>
      <c r="E201" s="1">
        <v>2</v>
      </c>
      <c r="F201" s="1">
        <v>4</v>
      </c>
      <c r="G201" s="1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x14ac:dyDescent="0.3">
      <c r="A202" s="1">
        <v>811</v>
      </c>
      <c r="B202" s="3">
        <v>40580</v>
      </c>
      <c r="C202" s="1">
        <v>1</v>
      </c>
      <c r="D202" s="1">
        <v>0</v>
      </c>
      <c r="E202" s="1">
        <v>2</v>
      </c>
      <c r="F202" s="1">
        <v>5</v>
      </c>
      <c r="G202" s="1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x14ac:dyDescent="0.3">
      <c r="A203" s="1">
        <v>812</v>
      </c>
      <c r="B203" s="3">
        <v>40580</v>
      </c>
      <c r="C203" s="1">
        <v>1</v>
      </c>
      <c r="D203" s="1">
        <v>0</v>
      </c>
      <c r="E203" s="1">
        <v>2</v>
      </c>
      <c r="F203" s="1">
        <v>6</v>
      </c>
      <c r="G203" s="1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3">
      <c r="A204" s="1">
        <v>813</v>
      </c>
      <c r="B204" s="3">
        <v>40580</v>
      </c>
      <c r="C204" s="1">
        <v>1</v>
      </c>
      <c r="D204" s="1">
        <v>0</v>
      </c>
      <c r="E204" s="1">
        <v>2</v>
      </c>
      <c r="F204" s="1">
        <v>7</v>
      </c>
      <c r="G204" s="1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x14ac:dyDescent="0.3">
      <c r="A205" s="1">
        <v>814</v>
      </c>
      <c r="B205" s="3">
        <v>40580</v>
      </c>
      <c r="C205" s="1">
        <v>1</v>
      </c>
      <c r="D205" s="1">
        <v>0</v>
      </c>
      <c r="E205" s="1">
        <v>2</v>
      </c>
      <c r="F205" s="1">
        <v>8</v>
      </c>
      <c r="G205" s="1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x14ac:dyDescent="0.3">
      <c r="A206" s="1">
        <v>815</v>
      </c>
      <c r="B206" s="3">
        <v>40580</v>
      </c>
      <c r="C206" s="1">
        <v>1</v>
      </c>
      <c r="D206" s="1">
        <v>0</v>
      </c>
      <c r="E206" s="1">
        <v>2</v>
      </c>
      <c r="F206" s="1">
        <v>9</v>
      </c>
      <c r="G206" s="1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x14ac:dyDescent="0.3">
      <c r="A207" s="1">
        <v>816</v>
      </c>
      <c r="B207" s="3">
        <v>40580</v>
      </c>
      <c r="C207" s="1">
        <v>1</v>
      </c>
      <c r="D207" s="1">
        <v>0</v>
      </c>
      <c r="E207" s="1">
        <v>2</v>
      </c>
      <c r="F207" s="1">
        <v>10</v>
      </c>
      <c r="G207" s="1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x14ac:dyDescent="0.3">
      <c r="A208" s="1">
        <v>817</v>
      </c>
      <c r="B208" s="3">
        <v>40580</v>
      </c>
      <c r="C208" s="1">
        <v>1</v>
      </c>
      <c r="D208" s="1">
        <v>0</v>
      </c>
      <c r="E208" s="1">
        <v>2</v>
      </c>
      <c r="F208" s="1">
        <v>11</v>
      </c>
      <c r="G208" s="1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x14ac:dyDescent="0.3">
      <c r="A209" s="1">
        <v>818</v>
      </c>
      <c r="B209" s="3">
        <v>40580</v>
      </c>
      <c r="C209" s="1">
        <v>1</v>
      </c>
      <c r="D209" s="1">
        <v>0</v>
      </c>
      <c r="E209" s="1">
        <v>2</v>
      </c>
      <c r="F209" s="1">
        <v>12</v>
      </c>
      <c r="G209" s="1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x14ac:dyDescent="0.3">
      <c r="A210" s="1">
        <v>819</v>
      </c>
      <c r="B210" s="3">
        <v>40580</v>
      </c>
      <c r="C210" s="1">
        <v>1</v>
      </c>
      <c r="D210" s="1">
        <v>0</v>
      </c>
      <c r="E210" s="1">
        <v>2</v>
      </c>
      <c r="F210" s="1">
        <v>13</v>
      </c>
      <c r="G210" s="1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x14ac:dyDescent="0.3">
      <c r="A211" s="1">
        <v>820</v>
      </c>
      <c r="B211" s="3">
        <v>40580</v>
      </c>
      <c r="C211" s="1">
        <v>1</v>
      </c>
      <c r="D211" s="1">
        <v>0</v>
      </c>
      <c r="E211" s="1">
        <v>2</v>
      </c>
      <c r="F211" s="1">
        <v>14</v>
      </c>
      <c r="G211" s="1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x14ac:dyDescent="0.3">
      <c r="A212" s="1">
        <v>821</v>
      </c>
      <c r="B212" s="3">
        <v>40580</v>
      </c>
      <c r="C212" s="1">
        <v>1</v>
      </c>
      <c r="D212" s="1">
        <v>0</v>
      </c>
      <c r="E212" s="1">
        <v>2</v>
      </c>
      <c r="F212" s="1">
        <v>15</v>
      </c>
      <c r="G212" s="1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x14ac:dyDescent="0.3">
      <c r="A213" s="1">
        <v>822</v>
      </c>
      <c r="B213" s="3">
        <v>40580</v>
      </c>
      <c r="C213" s="1">
        <v>1</v>
      </c>
      <c r="D213" s="1">
        <v>0</v>
      </c>
      <c r="E213" s="1">
        <v>2</v>
      </c>
      <c r="F213" s="1">
        <v>16</v>
      </c>
      <c r="G213" s="1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x14ac:dyDescent="0.3">
      <c r="A214" s="1">
        <v>823</v>
      </c>
      <c r="B214" s="3">
        <v>40580</v>
      </c>
      <c r="C214" s="1">
        <v>1</v>
      </c>
      <c r="D214" s="1">
        <v>0</v>
      </c>
      <c r="E214" s="1">
        <v>2</v>
      </c>
      <c r="F214" s="1">
        <v>17</v>
      </c>
      <c r="G214" s="1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x14ac:dyDescent="0.3">
      <c r="A215" s="1">
        <v>824</v>
      </c>
      <c r="B215" s="3">
        <v>40580</v>
      </c>
      <c r="C215" s="1">
        <v>1</v>
      </c>
      <c r="D215" s="1">
        <v>0</v>
      </c>
      <c r="E215" s="1">
        <v>2</v>
      </c>
      <c r="F215" s="1">
        <v>18</v>
      </c>
      <c r="G215" s="1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x14ac:dyDescent="0.3">
      <c r="A216" s="1">
        <v>825</v>
      </c>
      <c r="B216" s="3">
        <v>40580</v>
      </c>
      <c r="C216" s="1">
        <v>1</v>
      </c>
      <c r="D216" s="1">
        <v>0</v>
      </c>
      <c r="E216" s="1">
        <v>2</v>
      </c>
      <c r="F216" s="1">
        <v>19</v>
      </c>
      <c r="G216" s="1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x14ac:dyDescent="0.3">
      <c r="A217" s="1">
        <v>826</v>
      </c>
      <c r="B217" s="3">
        <v>40580</v>
      </c>
      <c r="C217" s="1">
        <v>1</v>
      </c>
      <c r="D217" s="1">
        <v>0</v>
      </c>
      <c r="E217" s="1">
        <v>2</v>
      </c>
      <c r="F217" s="1">
        <v>20</v>
      </c>
      <c r="G217" s="1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x14ac:dyDescent="0.3">
      <c r="A218" s="1">
        <v>827</v>
      </c>
      <c r="B218" s="3">
        <v>40580</v>
      </c>
      <c r="C218" s="1">
        <v>1</v>
      </c>
      <c r="D218" s="1">
        <v>0</v>
      </c>
      <c r="E218" s="1">
        <v>2</v>
      </c>
      <c r="F218" s="1">
        <v>21</v>
      </c>
      <c r="G218" s="1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x14ac:dyDescent="0.3">
      <c r="A219" s="1">
        <v>828</v>
      </c>
      <c r="B219" s="3">
        <v>40580</v>
      </c>
      <c r="C219" s="1">
        <v>1</v>
      </c>
      <c r="D219" s="1">
        <v>0</v>
      </c>
      <c r="E219" s="1">
        <v>2</v>
      </c>
      <c r="F219" s="1">
        <v>22</v>
      </c>
      <c r="G219" s="1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x14ac:dyDescent="0.3">
      <c r="A220" s="1">
        <v>829</v>
      </c>
      <c r="B220" s="3">
        <v>40580</v>
      </c>
      <c r="C220" s="1">
        <v>1</v>
      </c>
      <c r="D220" s="1">
        <v>0</v>
      </c>
      <c r="E220" s="1">
        <v>2</v>
      </c>
      <c r="F220" s="1">
        <v>23</v>
      </c>
      <c r="G220" s="1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x14ac:dyDescent="0.3">
      <c r="A221" s="1">
        <v>830</v>
      </c>
      <c r="B221" s="3">
        <v>40581</v>
      </c>
      <c r="C221" s="1">
        <v>1</v>
      </c>
      <c r="D221" s="1">
        <v>0</v>
      </c>
      <c r="E221" s="1">
        <v>2</v>
      </c>
      <c r="F221" s="1">
        <v>0</v>
      </c>
      <c r="G221" s="1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x14ac:dyDescent="0.3">
      <c r="A222" s="1">
        <v>831</v>
      </c>
      <c r="B222" s="3">
        <v>40581</v>
      </c>
      <c r="C222" s="1">
        <v>1</v>
      </c>
      <c r="D222" s="1">
        <v>0</v>
      </c>
      <c r="E222" s="1">
        <v>2</v>
      </c>
      <c r="F222" s="1">
        <v>1</v>
      </c>
      <c r="G222" s="1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x14ac:dyDescent="0.3">
      <c r="A223" s="1">
        <v>832</v>
      </c>
      <c r="B223" s="3">
        <v>40581</v>
      </c>
      <c r="C223" s="1">
        <v>1</v>
      </c>
      <c r="D223" s="1">
        <v>0</v>
      </c>
      <c r="E223" s="1">
        <v>2</v>
      </c>
      <c r="F223" s="1">
        <v>2</v>
      </c>
      <c r="G223" s="1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x14ac:dyDescent="0.3">
      <c r="A224" s="1">
        <v>833</v>
      </c>
      <c r="B224" s="3">
        <v>40581</v>
      </c>
      <c r="C224" s="1">
        <v>1</v>
      </c>
      <c r="D224" s="1">
        <v>0</v>
      </c>
      <c r="E224" s="1">
        <v>2</v>
      </c>
      <c r="F224" s="1">
        <v>3</v>
      </c>
      <c r="G224" s="1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x14ac:dyDescent="0.3">
      <c r="A225" s="1">
        <v>834</v>
      </c>
      <c r="B225" s="3">
        <v>40581</v>
      </c>
      <c r="C225" s="1">
        <v>1</v>
      </c>
      <c r="D225" s="1">
        <v>0</v>
      </c>
      <c r="E225" s="1">
        <v>2</v>
      </c>
      <c r="F225" s="1">
        <v>4</v>
      </c>
      <c r="G225" s="1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x14ac:dyDescent="0.3">
      <c r="A226" s="1">
        <v>835</v>
      </c>
      <c r="B226" s="3">
        <v>40581</v>
      </c>
      <c r="C226" s="1">
        <v>1</v>
      </c>
      <c r="D226" s="1">
        <v>0</v>
      </c>
      <c r="E226" s="1">
        <v>2</v>
      </c>
      <c r="F226" s="1">
        <v>5</v>
      </c>
      <c r="G226" s="1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x14ac:dyDescent="0.3">
      <c r="A227" s="1">
        <v>836</v>
      </c>
      <c r="B227" s="3">
        <v>40581</v>
      </c>
      <c r="C227" s="1">
        <v>1</v>
      </c>
      <c r="D227" s="1">
        <v>0</v>
      </c>
      <c r="E227" s="1">
        <v>2</v>
      </c>
      <c r="F227" s="1">
        <v>6</v>
      </c>
      <c r="G227" s="1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x14ac:dyDescent="0.3">
      <c r="A228" s="1">
        <v>837</v>
      </c>
      <c r="B228" s="3">
        <v>40581</v>
      </c>
      <c r="C228" s="1">
        <v>1</v>
      </c>
      <c r="D228" s="1">
        <v>0</v>
      </c>
      <c r="E228" s="1">
        <v>2</v>
      </c>
      <c r="F228" s="1">
        <v>7</v>
      </c>
      <c r="G228" s="1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x14ac:dyDescent="0.3">
      <c r="A229" s="1">
        <v>838</v>
      </c>
      <c r="B229" s="3">
        <v>40581</v>
      </c>
      <c r="C229" s="1">
        <v>1</v>
      </c>
      <c r="D229" s="1">
        <v>0</v>
      </c>
      <c r="E229" s="1">
        <v>2</v>
      </c>
      <c r="F229" s="1">
        <v>8</v>
      </c>
      <c r="G229" s="1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x14ac:dyDescent="0.3">
      <c r="A230" s="1">
        <v>839</v>
      </c>
      <c r="B230" s="3">
        <v>40581</v>
      </c>
      <c r="C230" s="1">
        <v>1</v>
      </c>
      <c r="D230" s="1">
        <v>0</v>
      </c>
      <c r="E230" s="1">
        <v>2</v>
      </c>
      <c r="F230" s="1">
        <v>9</v>
      </c>
      <c r="G230" s="1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x14ac:dyDescent="0.3">
      <c r="A231" s="1">
        <v>840</v>
      </c>
      <c r="B231" s="3">
        <v>40581</v>
      </c>
      <c r="C231" s="1">
        <v>1</v>
      </c>
      <c r="D231" s="1">
        <v>0</v>
      </c>
      <c r="E231" s="1">
        <v>2</v>
      </c>
      <c r="F231" s="1">
        <v>10</v>
      </c>
      <c r="G231" s="1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x14ac:dyDescent="0.3">
      <c r="A232" s="1">
        <v>841</v>
      </c>
      <c r="B232" s="3">
        <v>40581</v>
      </c>
      <c r="C232" s="1">
        <v>1</v>
      </c>
      <c r="D232" s="1">
        <v>0</v>
      </c>
      <c r="E232" s="1">
        <v>2</v>
      </c>
      <c r="F232" s="1">
        <v>11</v>
      </c>
      <c r="G232" s="1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x14ac:dyDescent="0.3">
      <c r="A233" s="1">
        <v>842</v>
      </c>
      <c r="B233" s="3">
        <v>40581</v>
      </c>
      <c r="C233" s="1">
        <v>1</v>
      </c>
      <c r="D233" s="1">
        <v>0</v>
      </c>
      <c r="E233" s="1">
        <v>2</v>
      </c>
      <c r="F233" s="1">
        <v>12</v>
      </c>
      <c r="G233" s="1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x14ac:dyDescent="0.3">
      <c r="A234" s="1">
        <v>843</v>
      </c>
      <c r="B234" s="3">
        <v>40581</v>
      </c>
      <c r="C234" s="1">
        <v>1</v>
      </c>
      <c r="D234" s="1">
        <v>0</v>
      </c>
      <c r="E234" s="1">
        <v>2</v>
      </c>
      <c r="F234" s="1">
        <v>13</v>
      </c>
      <c r="G234" s="1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x14ac:dyDescent="0.3">
      <c r="A235" s="1">
        <v>844</v>
      </c>
      <c r="B235" s="3">
        <v>40581</v>
      </c>
      <c r="C235" s="1">
        <v>1</v>
      </c>
      <c r="D235" s="1">
        <v>0</v>
      </c>
      <c r="E235" s="1">
        <v>2</v>
      </c>
      <c r="F235" s="1">
        <v>14</v>
      </c>
      <c r="G235" s="1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x14ac:dyDescent="0.3">
      <c r="A236" s="1">
        <v>845</v>
      </c>
      <c r="B236" s="3">
        <v>40581</v>
      </c>
      <c r="C236" s="1">
        <v>1</v>
      </c>
      <c r="D236" s="1">
        <v>0</v>
      </c>
      <c r="E236" s="1">
        <v>2</v>
      </c>
      <c r="F236" s="1">
        <v>15</v>
      </c>
      <c r="G236" s="1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x14ac:dyDescent="0.3">
      <c r="A237" s="1">
        <v>846</v>
      </c>
      <c r="B237" s="3">
        <v>40581</v>
      </c>
      <c r="C237" s="1">
        <v>1</v>
      </c>
      <c r="D237" s="1">
        <v>0</v>
      </c>
      <c r="E237" s="1">
        <v>2</v>
      </c>
      <c r="F237" s="1">
        <v>16</v>
      </c>
      <c r="G237" s="1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x14ac:dyDescent="0.3">
      <c r="A238" s="1">
        <v>847</v>
      </c>
      <c r="B238" s="3">
        <v>40581</v>
      </c>
      <c r="C238" s="1">
        <v>1</v>
      </c>
      <c r="D238" s="1">
        <v>0</v>
      </c>
      <c r="E238" s="1">
        <v>2</v>
      </c>
      <c r="F238" s="1">
        <v>17</v>
      </c>
      <c r="G238" s="1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x14ac:dyDescent="0.3">
      <c r="A239" s="1">
        <v>848</v>
      </c>
      <c r="B239" s="3">
        <v>40581</v>
      </c>
      <c r="C239" s="1">
        <v>1</v>
      </c>
      <c r="D239" s="1">
        <v>0</v>
      </c>
      <c r="E239" s="1">
        <v>2</v>
      </c>
      <c r="F239" s="1">
        <v>18</v>
      </c>
      <c r="G239" s="1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x14ac:dyDescent="0.3">
      <c r="A240" s="1">
        <v>849</v>
      </c>
      <c r="B240" s="3">
        <v>40581</v>
      </c>
      <c r="C240" s="1">
        <v>1</v>
      </c>
      <c r="D240" s="1">
        <v>0</v>
      </c>
      <c r="E240" s="1">
        <v>2</v>
      </c>
      <c r="F240" s="1">
        <v>19</v>
      </c>
      <c r="G240" s="1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x14ac:dyDescent="0.3">
      <c r="A241" s="1">
        <v>850</v>
      </c>
      <c r="B241" s="3">
        <v>40581</v>
      </c>
      <c r="C241" s="1">
        <v>1</v>
      </c>
      <c r="D241" s="1">
        <v>0</v>
      </c>
      <c r="E241" s="1">
        <v>2</v>
      </c>
      <c r="F241" s="1">
        <v>20</v>
      </c>
      <c r="G241" s="1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x14ac:dyDescent="0.3">
      <c r="A242" s="1">
        <v>851</v>
      </c>
      <c r="B242" s="3">
        <v>40581</v>
      </c>
      <c r="C242" s="1">
        <v>1</v>
      </c>
      <c r="D242" s="1">
        <v>0</v>
      </c>
      <c r="E242" s="1">
        <v>2</v>
      </c>
      <c r="F242" s="1">
        <v>21</v>
      </c>
      <c r="G242" s="1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x14ac:dyDescent="0.3">
      <c r="A243" s="1">
        <v>852</v>
      </c>
      <c r="B243" s="3">
        <v>40581</v>
      </c>
      <c r="C243" s="1">
        <v>1</v>
      </c>
      <c r="D243" s="1">
        <v>0</v>
      </c>
      <c r="E243" s="1">
        <v>2</v>
      </c>
      <c r="F243" s="1">
        <v>22</v>
      </c>
      <c r="G243" s="1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x14ac:dyDescent="0.3">
      <c r="A244" s="1">
        <v>853</v>
      </c>
      <c r="B244" s="3">
        <v>40581</v>
      </c>
      <c r="C244" s="1">
        <v>1</v>
      </c>
      <c r="D244" s="1">
        <v>0</v>
      </c>
      <c r="E244" s="1">
        <v>2</v>
      </c>
      <c r="F244" s="1">
        <v>23</v>
      </c>
      <c r="G244" s="1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x14ac:dyDescent="0.3">
      <c r="A245" s="1">
        <v>854</v>
      </c>
      <c r="B245" s="3">
        <v>40582</v>
      </c>
      <c r="C245" s="1">
        <v>1</v>
      </c>
      <c r="D245" s="1">
        <v>0</v>
      </c>
      <c r="E245" s="1">
        <v>2</v>
      </c>
      <c r="F245" s="1">
        <v>0</v>
      </c>
      <c r="G245" s="1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x14ac:dyDescent="0.3">
      <c r="A246" s="1">
        <v>855</v>
      </c>
      <c r="B246" s="3">
        <v>40582</v>
      </c>
      <c r="C246" s="1">
        <v>1</v>
      </c>
      <c r="D246" s="1">
        <v>0</v>
      </c>
      <c r="E246" s="1">
        <v>2</v>
      </c>
      <c r="F246" s="1">
        <v>1</v>
      </c>
      <c r="G246" s="1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x14ac:dyDescent="0.3">
      <c r="A247" s="1">
        <v>856</v>
      </c>
      <c r="B247" s="3">
        <v>40582</v>
      </c>
      <c r="C247" s="1">
        <v>1</v>
      </c>
      <c r="D247" s="1">
        <v>0</v>
      </c>
      <c r="E247" s="1">
        <v>2</v>
      </c>
      <c r="F247" s="1">
        <v>2</v>
      </c>
      <c r="G247" s="1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x14ac:dyDescent="0.3">
      <c r="A248" s="1">
        <v>857</v>
      </c>
      <c r="B248" s="3">
        <v>40582</v>
      </c>
      <c r="C248" s="1">
        <v>1</v>
      </c>
      <c r="D248" s="1">
        <v>0</v>
      </c>
      <c r="E248" s="1">
        <v>2</v>
      </c>
      <c r="F248" s="1">
        <v>3</v>
      </c>
      <c r="G248" s="1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x14ac:dyDescent="0.3">
      <c r="A249" s="1">
        <v>858</v>
      </c>
      <c r="B249" s="3">
        <v>40582</v>
      </c>
      <c r="C249" s="1">
        <v>1</v>
      </c>
      <c r="D249" s="1">
        <v>0</v>
      </c>
      <c r="E249" s="1">
        <v>2</v>
      </c>
      <c r="F249" s="1">
        <v>4</v>
      </c>
      <c r="G249" s="1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x14ac:dyDescent="0.3">
      <c r="A250" s="1">
        <v>859</v>
      </c>
      <c r="B250" s="3">
        <v>40582</v>
      </c>
      <c r="C250" s="1">
        <v>1</v>
      </c>
      <c r="D250" s="1">
        <v>0</v>
      </c>
      <c r="E250" s="1">
        <v>2</v>
      </c>
      <c r="F250" s="1">
        <v>5</v>
      </c>
      <c r="G250" s="1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x14ac:dyDescent="0.3">
      <c r="A251" s="1">
        <v>860</v>
      </c>
      <c r="B251" s="3">
        <v>40582</v>
      </c>
      <c r="C251" s="1">
        <v>1</v>
      </c>
      <c r="D251" s="1">
        <v>0</v>
      </c>
      <c r="E251" s="1">
        <v>2</v>
      </c>
      <c r="F251" s="1">
        <v>6</v>
      </c>
      <c r="G251" s="1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x14ac:dyDescent="0.3">
      <c r="A252" s="1">
        <v>861</v>
      </c>
      <c r="B252" s="3">
        <v>40582</v>
      </c>
      <c r="C252" s="1">
        <v>1</v>
      </c>
      <c r="D252" s="1">
        <v>0</v>
      </c>
      <c r="E252" s="1">
        <v>2</v>
      </c>
      <c r="F252" s="1">
        <v>7</v>
      </c>
      <c r="G252" s="1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x14ac:dyDescent="0.3">
      <c r="A253" s="1">
        <v>862</v>
      </c>
      <c r="B253" s="3">
        <v>40582</v>
      </c>
      <c r="C253" s="1">
        <v>1</v>
      </c>
      <c r="D253" s="1">
        <v>0</v>
      </c>
      <c r="E253" s="1">
        <v>2</v>
      </c>
      <c r="F253" s="1">
        <v>8</v>
      </c>
      <c r="G253" s="1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x14ac:dyDescent="0.3">
      <c r="A254" s="1">
        <v>863</v>
      </c>
      <c r="B254" s="3">
        <v>40582</v>
      </c>
      <c r="C254" s="1">
        <v>1</v>
      </c>
      <c r="D254" s="1">
        <v>0</v>
      </c>
      <c r="E254" s="1">
        <v>2</v>
      </c>
      <c r="F254" s="1">
        <v>9</v>
      </c>
      <c r="G254" s="1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x14ac:dyDescent="0.3">
      <c r="A255" s="1">
        <v>864</v>
      </c>
      <c r="B255" s="3">
        <v>40582</v>
      </c>
      <c r="C255" s="1">
        <v>1</v>
      </c>
      <c r="D255" s="1">
        <v>0</v>
      </c>
      <c r="E255" s="1">
        <v>2</v>
      </c>
      <c r="F255" s="1">
        <v>10</v>
      </c>
      <c r="G255" s="1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x14ac:dyDescent="0.3">
      <c r="A256" s="1">
        <v>865</v>
      </c>
      <c r="B256" s="3">
        <v>40582</v>
      </c>
      <c r="C256" s="1">
        <v>1</v>
      </c>
      <c r="D256" s="1">
        <v>0</v>
      </c>
      <c r="E256" s="1">
        <v>2</v>
      </c>
      <c r="F256" s="1">
        <v>11</v>
      </c>
      <c r="G256" s="1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x14ac:dyDescent="0.3">
      <c r="A257" s="1">
        <v>866</v>
      </c>
      <c r="B257" s="3">
        <v>40582</v>
      </c>
      <c r="C257" s="1">
        <v>1</v>
      </c>
      <c r="D257" s="1">
        <v>0</v>
      </c>
      <c r="E257" s="1">
        <v>2</v>
      </c>
      <c r="F257" s="1">
        <v>12</v>
      </c>
      <c r="G257" s="1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x14ac:dyDescent="0.3">
      <c r="A258" s="1">
        <v>867</v>
      </c>
      <c r="B258" s="3">
        <v>40582</v>
      </c>
      <c r="C258" s="1">
        <v>1</v>
      </c>
      <c r="D258" s="1">
        <v>0</v>
      </c>
      <c r="E258" s="1">
        <v>2</v>
      </c>
      <c r="F258" s="1">
        <v>13</v>
      </c>
      <c r="G258" s="1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x14ac:dyDescent="0.3">
      <c r="A259" s="1">
        <v>868</v>
      </c>
      <c r="B259" s="3">
        <v>40582</v>
      </c>
      <c r="C259" s="1">
        <v>1</v>
      </c>
      <c r="D259" s="1">
        <v>0</v>
      </c>
      <c r="E259" s="1">
        <v>2</v>
      </c>
      <c r="F259" s="1">
        <v>14</v>
      </c>
      <c r="G259" s="1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x14ac:dyDescent="0.3">
      <c r="A260" s="1">
        <v>869</v>
      </c>
      <c r="B260" s="3">
        <v>40582</v>
      </c>
      <c r="C260" s="1">
        <v>1</v>
      </c>
      <c r="D260" s="1">
        <v>0</v>
      </c>
      <c r="E260" s="1">
        <v>2</v>
      </c>
      <c r="F260" s="1">
        <v>15</v>
      </c>
      <c r="G260" s="1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x14ac:dyDescent="0.3">
      <c r="A261" s="1">
        <v>870</v>
      </c>
      <c r="B261" s="3">
        <v>40582</v>
      </c>
      <c r="C261" s="1">
        <v>1</v>
      </c>
      <c r="D261" s="1">
        <v>0</v>
      </c>
      <c r="E261" s="1">
        <v>2</v>
      </c>
      <c r="F261" s="1">
        <v>16</v>
      </c>
      <c r="G261" s="1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x14ac:dyDescent="0.3">
      <c r="A262" s="1">
        <v>871</v>
      </c>
      <c r="B262" s="3">
        <v>40582</v>
      </c>
      <c r="C262" s="1">
        <v>1</v>
      </c>
      <c r="D262" s="1">
        <v>0</v>
      </c>
      <c r="E262" s="1">
        <v>2</v>
      </c>
      <c r="F262" s="1">
        <v>17</v>
      </c>
      <c r="G262" s="1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x14ac:dyDescent="0.3">
      <c r="A263" s="1">
        <v>872</v>
      </c>
      <c r="B263" s="3">
        <v>40582</v>
      </c>
      <c r="C263" s="1">
        <v>1</v>
      </c>
      <c r="D263" s="1">
        <v>0</v>
      </c>
      <c r="E263" s="1">
        <v>2</v>
      </c>
      <c r="F263" s="1">
        <v>18</v>
      </c>
      <c r="G263" s="1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x14ac:dyDescent="0.3">
      <c r="A264" s="1">
        <v>873</v>
      </c>
      <c r="B264" s="3">
        <v>40582</v>
      </c>
      <c r="C264" s="1">
        <v>1</v>
      </c>
      <c r="D264" s="1">
        <v>0</v>
      </c>
      <c r="E264" s="1">
        <v>2</v>
      </c>
      <c r="F264" s="1">
        <v>19</v>
      </c>
      <c r="G264" s="1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x14ac:dyDescent="0.3">
      <c r="A265" s="1">
        <v>874</v>
      </c>
      <c r="B265" s="3">
        <v>40582</v>
      </c>
      <c r="C265" s="1">
        <v>1</v>
      </c>
      <c r="D265" s="1">
        <v>0</v>
      </c>
      <c r="E265" s="1">
        <v>2</v>
      </c>
      <c r="F265" s="1">
        <v>20</v>
      </c>
      <c r="G265" s="1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x14ac:dyDescent="0.3">
      <c r="A266" s="1">
        <v>875</v>
      </c>
      <c r="B266" s="3">
        <v>40582</v>
      </c>
      <c r="C266" s="1">
        <v>1</v>
      </c>
      <c r="D266" s="1">
        <v>0</v>
      </c>
      <c r="E266" s="1">
        <v>2</v>
      </c>
      <c r="F266" s="1">
        <v>21</v>
      </c>
      <c r="G266" s="1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x14ac:dyDescent="0.3">
      <c r="A267" s="1">
        <v>876</v>
      </c>
      <c r="B267" s="3">
        <v>40582</v>
      </c>
      <c r="C267" s="1">
        <v>1</v>
      </c>
      <c r="D267" s="1">
        <v>0</v>
      </c>
      <c r="E267" s="1">
        <v>2</v>
      </c>
      <c r="F267" s="1">
        <v>22</v>
      </c>
      <c r="G267" s="1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x14ac:dyDescent="0.3">
      <c r="A268" s="1">
        <v>877</v>
      </c>
      <c r="B268" s="3">
        <v>40582</v>
      </c>
      <c r="C268" s="1">
        <v>1</v>
      </c>
      <c r="D268" s="1">
        <v>0</v>
      </c>
      <c r="E268" s="1">
        <v>2</v>
      </c>
      <c r="F268" s="1">
        <v>23</v>
      </c>
      <c r="G268" s="1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x14ac:dyDescent="0.3">
      <c r="A269" s="1">
        <v>878</v>
      </c>
      <c r="B269" s="3">
        <v>40583</v>
      </c>
      <c r="C269" s="1">
        <v>1</v>
      </c>
      <c r="D269" s="1">
        <v>0</v>
      </c>
      <c r="E269" s="1">
        <v>2</v>
      </c>
      <c r="F269" s="1">
        <v>0</v>
      </c>
      <c r="G269" s="1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x14ac:dyDescent="0.3">
      <c r="A270" s="1">
        <v>879</v>
      </c>
      <c r="B270" s="3">
        <v>40583</v>
      </c>
      <c r="C270" s="1">
        <v>1</v>
      </c>
      <c r="D270" s="1">
        <v>0</v>
      </c>
      <c r="E270" s="1">
        <v>2</v>
      </c>
      <c r="F270" s="1">
        <v>1</v>
      </c>
      <c r="G270" s="1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x14ac:dyDescent="0.3">
      <c r="A271" s="1">
        <v>880</v>
      </c>
      <c r="B271" s="3">
        <v>40583</v>
      </c>
      <c r="C271" s="1">
        <v>1</v>
      </c>
      <c r="D271" s="1">
        <v>0</v>
      </c>
      <c r="E271" s="1">
        <v>2</v>
      </c>
      <c r="F271" s="1">
        <v>2</v>
      </c>
      <c r="G271" s="1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x14ac:dyDescent="0.3">
      <c r="A272" s="1">
        <v>881</v>
      </c>
      <c r="B272" s="3">
        <v>40583</v>
      </c>
      <c r="C272" s="1">
        <v>1</v>
      </c>
      <c r="D272" s="1">
        <v>0</v>
      </c>
      <c r="E272" s="1">
        <v>2</v>
      </c>
      <c r="F272" s="1">
        <v>3</v>
      </c>
      <c r="G272" s="1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x14ac:dyDescent="0.3">
      <c r="A273" s="1">
        <v>882</v>
      </c>
      <c r="B273" s="3">
        <v>40583</v>
      </c>
      <c r="C273" s="1">
        <v>1</v>
      </c>
      <c r="D273" s="1">
        <v>0</v>
      </c>
      <c r="E273" s="1">
        <v>2</v>
      </c>
      <c r="F273" s="1">
        <v>5</v>
      </c>
      <c r="G273" s="1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x14ac:dyDescent="0.3">
      <c r="A274" s="1">
        <v>883</v>
      </c>
      <c r="B274" s="3">
        <v>40583</v>
      </c>
      <c r="C274" s="1">
        <v>1</v>
      </c>
      <c r="D274" s="1">
        <v>0</v>
      </c>
      <c r="E274" s="1">
        <v>2</v>
      </c>
      <c r="F274" s="1">
        <v>6</v>
      </c>
      <c r="G274" s="1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x14ac:dyDescent="0.3">
      <c r="A275" s="1">
        <v>884</v>
      </c>
      <c r="B275" s="3">
        <v>40583</v>
      </c>
      <c r="C275" s="1">
        <v>1</v>
      </c>
      <c r="D275" s="1">
        <v>0</v>
      </c>
      <c r="E275" s="1">
        <v>2</v>
      </c>
      <c r="F275" s="1">
        <v>7</v>
      </c>
      <c r="G275" s="1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x14ac:dyDescent="0.3">
      <c r="A276" s="1">
        <v>885</v>
      </c>
      <c r="B276" s="3">
        <v>40583</v>
      </c>
      <c r="C276" s="1">
        <v>1</v>
      </c>
      <c r="D276" s="1">
        <v>0</v>
      </c>
      <c r="E276" s="1">
        <v>2</v>
      </c>
      <c r="F276" s="1">
        <v>8</v>
      </c>
      <c r="G276" s="1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x14ac:dyDescent="0.3">
      <c r="A277" s="1">
        <v>886</v>
      </c>
      <c r="B277" s="3">
        <v>40583</v>
      </c>
      <c r="C277" s="1">
        <v>1</v>
      </c>
      <c r="D277" s="1">
        <v>0</v>
      </c>
      <c r="E277" s="1">
        <v>2</v>
      </c>
      <c r="F277" s="1">
        <v>9</v>
      </c>
      <c r="G277" s="1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x14ac:dyDescent="0.3">
      <c r="A278" s="1">
        <v>887</v>
      </c>
      <c r="B278" s="3">
        <v>40583</v>
      </c>
      <c r="C278" s="1">
        <v>1</v>
      </c>
      <c r="D278" s="1">
        <v>0</v>
      </c>
      <c r="E278" s="1">
        <v>2</v>
      </c>
      <c r="F278" s="1">
        <v>10</v>
      </c>
      <c r="G278" s="1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x14ac:dyDescent="0.3">
      <c r="A279" s="1">
        <v>888</v>
      </c>
      <c r="B279" s="3">
        <v>40583</v>
      </c>
      <c r="C279" s="1">
        <v>1</v>
      </c>
      <c r="D279" s="1">
        <v>0</v>
      </c>
      <c r="E279" s="1">
        <v>2</v>
      </c>
      <c r="F279" s="1">
        <v>11</v>
      </c>
      <c r="G279" s="1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x14ac:dyDescent="0.3">
      <c r="A280" s="1">
        <v>889</v>
      </c>
      <c r="B280" s="3">
        <v>40583</v>
      </c>
      <c r="C280" s="1">
        <v>1</v>
      </c>
      <c r="D280" s="1">
        <v>0</v>
      </c>
      <c r="E280" s="1">
        <v>2</v>
      </c>
      <c r="F280" s="1">
        <v>12</v>
      </c>
      <c r="G280" s="1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x14ac:dyDescent="0.3">
      <c r="A281" s="1">
        <v>890</v>
      </c>
      <c r="B281" s="3">
        <v>40583</v>
      </c>
      <c r="C281" s="1">
        <v>1</v>
      </c>
      <c r="D281" s="1">
        <v>0</v>
      </c>
      <c r="E281" s="1">
        <v>2</v>
      </c>
      <c r="F281" s="1">
        <v>13</v>
      </c>
      <c r="G281" s="1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x14ac:dyDescent="0.3">
      <c r="A282" s="1">
        <v>891</v>
      </c>
      <c r="B282" s="3">
        <v>40583</v>
      </c>
      <c r="C282" s="1">
        <v>1</v>
      </c>
      <c r="D282" s="1">
        <v>0</v>
      </c>
      <c r="E282" s="1">
        <v>2</v>
      </c>
      <c r="F282" s="1">
        <v>14</v>
      </c>
      <c r="G282" s="1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x14ac:dyDescent="0.3">
      <c r="A283" s="1">
        <v>892</v>
      </c>
      <c r="B283" s="3">
        <v>40583</v>
      </c>
      <c r="C283" s="1">
        <v>1</v>
      </c>
      <c r="D283" s="1">
        <v>0</v>
      </c>
      <c r="E283" s="1">
        <v>2</v>
      </c>
      <c r="F283" s="1">
        <v>15</v>
      </c>
      <c r="G283" s="1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x14ac:dyDescent="0.3">
      <c r="A284" s="1">
        <v>893</v>
      </c>
      <c r="B284" s="3">
        <v>40583</v>
      </c>
      <c r="C284" s="1">
        <v>1</v>
      </c>
      <c r="D284" s="1">
        <v>0</v>
      </c>
      <c r="E284" s="1">
        <v>2</v>
      </c>
      <c r="F284" s="1">
        <v>16</v>
      </c>
      <c r="G284" s="1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x14ac:dyDescent="0.3">
      <c r="A285" s="1">
        <v>894</v>
      </c>
      <c r="B285" s="3">
        <v>40583</v>
      </c>
      <c r="C285" s="1">
        <v>1</v>
      </c>
      <c r="D285" s="1">
        <v>0</v>
      </c>
      <c r="E285" s="1">
        <v>2</v>
      </c>
      <c r="F285" s="1">
        <v>17</v>
      </c>
      <c r="G285" s="1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x14ac:dyDescent="0.3">
      <c r="A286" s="1">
        <v>895</v>
      </c>
      <c r="B286" s="3">
        <v>40583</v>
      </c>
      <c r="C286" s="1">
        <v>1</v>
      </c>
      <c r="D286" s="1">
        <v>0</v>
      </c>
      <c r="E286" s="1">
        <v>2</v>
      </c>
      <c r="F286" s="1">
        <v>18</v>
      </c>
      <c r="G286" s="1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x14ac:dyDescent="0.3">
      <c r="A287" s="1">
        <v>896</v>
      </c>
      <c r="B287" s="3">
        <v>40583</v>
      </c>
      <c r="C287" s="1">
        <v>1</v>
      </c>
      <c r="D287" s="1">
        <v>0</v>
      </c>
      <c r="E287" s="1">
        <v>2</v>
      </c>
      <c r="F287" s="1">
        <v>19</v>
      </c>
      <c r="G287" s="1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x14ac:dyDescent="0.3">
      <c r="A288" s="1">
        <v>897</v>
      </c>
      <c r="B288" s="3">
        <v>40583</v>
      </c>
      <c r="C288" s="1">
        <v>1</v>
      </c>
      <c r="D288" s="1">
        <v>0</v>
      </c>
      <c r="E288" s="1">
        <v>2</v>
      </c>
      <c r="F288" s="1">
        <v>20</v>
      </c>
      <c r="G288" s="1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x14ac:dyDescent="0.3">
      <c r="A289" s="1">
        <v>898</v>
      </c>
      <c r="B289" s="3">
        <v>40583</v>
      </c>
      <c r="C289" s="1">
        <v>1</v>
      </c>
      <c r="D289" s="1">
        <v>0</v>
      </c>
      <c r="E289" s="1">
        <v>2</v>
      </c>
      <c r="F289" s="1">
        <v>21</v>
      </c>
      <c r="G289" s="1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x14ac:dyDescent="0.3">
      <c r="A290" s="1">
        <v>899</v>
      </c>
      <c r="B290" s="3">
        <v>40583</v>
      </c>
      <c r="C290" s="1">
        <v>1</v>
      </c>
      <c r="D290" s="1">
        <v>0</v>
      </c>
      <c r="E290" s="1">
        <v>2</v>
      </c>
      <c r="F290" s="1">
        <v>22</v>
      </c>
      <c r="G290" s="1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x14ac:dyDescent="0.3">
      <c r="A291" s="1">
        <v>900</v>
      </c>
      <c r="B291" s="3">
        <v>40583</v>
      </c>
      <c r="C291" s="1">
        <v>1</v>
      </c>
      <c r="D291" s="1">
        <v>0</v>
      </c>
      <c r="E291" s="1">
        <v>2</v>
      </c>
      <c r="F291" s="1">
        <v>23</v>
      </c>
      <c r="G291" s="1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x14ac:dyDescent="0.3">
      <c r="A292" s="1">
        <v>901</v>
      </c>
      <c r="B292" s="3">
        <v>40584</v>
      </c>
      <c r="C292" s="1">
        <v>1</v>
      </c>
      <c r="D292" s="1">
        <v>0</v>
      </c>
      <c r="E292" s="1">
        <v>2</v>
      </c>
      <c r="F292" s="1">
        <v>0</v>
      </c>
      <c r="G292" s="1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x14ac:dyDescent="0.3">
      <c r="A293" s="1">
        <v>902</v>
      </c>
      <c r="B293" s="3">
        <v>40584</v>
      </c>
      <c r="C293" s="1">
        <v>1</v>
      </c>
      <c r="D293" s="1">
        <v>0</v>
      </c>
      <c r="E293" s="1">
        <v>2</v>
      </c>
      <c r="F293" s="1">
        <v>1</v>
      </c>
      <c r="G293" s="1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x14ac:dyDescent="0.3">
      <c r="A294" s="1">
        <v>903</v>
      </c>
      <c r="B294" s="3">
        <v>40584</v>
      </c>
      <c r="C294" s="1">
        <v>1</v>
      </c>
      <c r="D294" s="1">
        <v>0</v>
      </c>
      <c r="E294" s="1">
        <v>2</v>
      </c>
      <c r="F294" s="1">
        <v>2</v>
      </c>
      <c r="G294" s="1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x14ac:dyDescent="0.3">
      <c r="A295" s="1">
        <v>904</v>
      </c>
      <c r="B295" s="3">
        <v>40584</v>
      </c>
      <c r="C295" s="1">
        <v>1</v>
      </c>
      <c r="D295" s="1">
        <v>0</v>
      </c>
      <c r="E295" s="1">
        <v>2</v>
      </c>
      <c r="F295" s="1">
        <v>4</v>
      </c>
      <c r="G295" s="1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x14ac:dyDescent="0.3">
      <c r="A296" s="1">
        <v>905</v>
      </c>
      <c r="B296" s="3">
        <v>40584</v>
      </c>
      <c r="C296" s="1">
        <v>1</v>
      </c>
      <c r="D296" s="1">
        <v>0</v>
      </c>
      <c r="E296" s="1">
        <v>2</v>
      </c>
      <c r="F296" s="1">
        <v>5</v>
      </c>
      <c r="G296" s="1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x14ac:dyDescent="0.3">
      <c r="A297" s="1">
        <v>906</v>
      </c>
      <c r="B297" s="3">
        <v>40584</v>
      </c>
      <c r="C297" s="1">
        <v>1</v>
      </c>
      <c r="D297" s="1">
        <v>0</v>
      </c>
      <c r="E297" s="1">
        <v>2</v>
      </c>
      <c r="F297" s="1">
        <v>6</v>
      </c>
      <c r="G297" s="1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x14ac:dyDescent="0.3">
      <c r="A298" s="1">
        <v>907</v>
      </c>
      <c r="B298" s="3">
        <v>40584</v>
      </c>
      <c r="C298" s="1">
        <v>1</v>
      </c>
      <c r="D298" s="1">
        <v>0</v>
      </c>
      <c r="E298" s="1">
        <v>2</v>
      </c>
      <c r="F298" s="1">
        <v>7</v>
      </c>
      <c r="G298" s="1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x14ac:dyDescent="0.3">
      <c r="A299" s="1">
        <v>908</v>
      </c>
      <c r="B299" s="3">
        <v>40584</v>
      </c>
      <c r="C299" s="1">
        <v>1</v>
      </c>
      <c r="D299" s="1">
        <v>0</v>
      </c>
      <c r="E299" s="1">
        <v>2</v>
      </c>
      <c r="F299" s="1">
        <v>8</v>
      </c>
      <c r="G299" s="1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x14ac:dyDescent="0.3">
      <c r="A300" s="1">
        <v>909</v>
      </c>
      <c r="B300" s="3">
        <v>40584</v>
      </c>
      <c r="C300" s="1">
        <v>1</v>
      </c>
      <c r="D300" s="1">
        <v>0</v>
      </c>
      <c r="E300" s="1">
        <v>2</v>
      </c>
      <c r="F300" s="1">
        <v>9</v>
      </c>
      <c r="G300" s="1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x14ac:dyDescent="0.3">
      <c r="A301" s="1">
        <v>910</v>
      </c>
      <c r="B301" s="3">
        <v>40584</v>
      </c>
      <c r="C301" s="1">
        <v>1</v>
      </c>
      <c r="D301" s="1">
        <v>0</v>
      </c>
      <c r="E301" s="1">
        <v>2</v>
      </c>
      <c r="F301" s="1">
        <v>10</v>
      </c>
      <c r="G301" s="1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x14ac:dyDescent="0.3">
      <c r="A302" s="1">
        <v>911</v>
      </c>
      <c r="B302" s="3">
        <v>40584</v>
      </c>
      <c r="C302" s="1">
        <v>1</v>
      </c>
      <c r="D302" s="1">
        <v>0</v>
      </c>
      <c r="E302" s="1">
        <v>2</v>
      </c>
      <c r="F302" s="1">
        <v>11</v>
      </c>
      <c r="G302" s="1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x14ac:dyDescent="0.3">
      <c r="A303" s="1">
        <v>912</v>
      </c>
      <c r="B303" s="3">
        <v>40584</v>
      </c>
      <c r="C303" s="1">
        <v>1</v>
      </c>
      <c r="D303" s="1">
        <v>0</v>
      </c>
      <c r="E303" s="1">
        <v>2</v>
      </c>
      <c r="F303" s="1">
        <v>12</v>
      </c>
      <c r="G303" s="1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x14ac:dyDescent="0.3">
      <c r="A304" s="1">
        <v>913</v>
      </c>
      <c r="B304" s="3">
        <v>40584</v>
      </c>
      <c r="C304" s="1">
        <v>1</v>
      </c>
      <c r="D304" s="1">
        <v>0</v>
      </c>
      <c r="E304" s="1">
        <v>2</v>
      </c>
      <c r="F304" s="1">
        <v>13</v>
      </c>
      <c r="G304" s="1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x14ac:dyDescent="0.3">
      <c r="A305" s="1">
        <v>914</v>
      </c>
      <c r="B305" s="3">
        <v>40584</v>
      </c>
      <c r="C305" s="1">
        <v>1</v>
      </c>
      <c r="D305" s="1">
        <v>0</v>
      </c>
      <c r="E305" s="1">
        <v>2</v>
      </c>
      <c r="F305" s="1">
        <v>14</v>
      </c>
      <c r="G305" s="1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x14ac:dyDescent="0.3">
      <c r="A306" s="1">
        <v>915</v>
      </c>
      <c r="B306" s="3">
        <v>40584</v>
      </c>
      <c r="C306" s="1">
        <v>1</v>
      </c>
      <c r="D306" s="1">
        <v>0</v>
      </c>
      <c r="E306" s="1">
        <v>2</v>
      </c>
      <c r="F306" s="1">
        <v>15</v>
      </c>
      <c r="G306" s="1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x14ac:dyDescent="0.3">
      <c r="A307" s="1">
        <v>916</v>
      </c>
      <c r="B307" s="3">
        <v>40584</v>
      </c>
      <c r="C307" s="1">
        <v>1</v>
      </c>
      <c r="D307" s="1">
        <v>0</v>
      </c>
      <c r="E307" s="1">
        <v>2</v>
      </c>
      <c r="F307" s="1">
        <v>16</v>
      </c>
      <c r="G307" s="1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x14ac:dyDescent="0.3">
      <c r="A308" s="1">
        <v>917</v>
      </c>
      <c r="B308" s="3">
        <v>40584</v>
      </c>
      <c r="C308" s="1">
        <v>1</v>
      </c>
      <c r="D308" s="1">
        <v>0</v>
      </c>
      <c r="E308" s="1">
        <v>2</v>
      </c>
      <c r="F308" s="1">
        <v>17</v>
      </c>
      <c r="G308" s="1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x14ac:dyDescent="0.3">
      <c r="A309" s="1">
        <v>918</v>
      </c>
      <c r="B309" s="3">
        <v>40584</v>
      </c>
      <c r="C309" s="1">
        <v>1</v>
      </c>
      <c r="D309" s="1">
        <v>0</v>
      </c>
      <c r="E309" s="1">
        <v>2</v>
      </c>
      <c r="F309" s="1">
        <v>18</v>
      </c>
      <c r="G309" s="1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x14ac:dyDescent="0.3">
      <c r="A310" s="1">
        <v>919</v>
      </c>
      <c r="B310" s="3">
        <v>40584</v>
      </c>
      <c r="C310" s="1">
        <v>1</v>
      </c>
      <c r="D310" s="1">
        <v>0</v>
      </c>
      <c r="E310" s="1">
        <v>2</v>
      </c>
      <c r="F310" s="1">
        <v>19</v>
      </c>
      <c r="G310" s="1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x14ac:dyDescent="0.3">
      <c r="A311" s="1">
        <v>920</v>
      </c>
      <c r="B311" s="3">
        <v>40584</v>
      </c>
      <c r="C311" s="1">
        <v>1</v>
      </c>
      <c r="D311" s="1">
        <v>0</v>
      </c>
      <c r="E311" s="1">
        <v>2</v>
      </c>
      <c r="F311" s="1">
        <v>20</v>
      </c>
      <c r="G311" s="1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x14ac:dyDescent="0.3">
      <c r="A312" s="1">
        <v>921</v>
      </c>
      <c r="B312" s="3">
        <v>40584</v>
      </c>
      <c r="C312" s="1">
        <v>1</v>
      </c>
      <c r="D312" s="1">
        <v>0</v>
      </c>
      <c r="E312" s="1">
        <v>2</v>
      </c>
      <c r="F312" s="1">
        <v>21</v>
      </c>
      <c r="G312" s="1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x14ac:dyDescent="0.3">
      <c r="A313" s="1">
        <v>922</v>
      </c>
      <c r="B313" s="3">
        <v>40584</v>
      </c>
      <c r="C313" s="1">
        <v>1</v>
      </c>
      <c r="D313" s="1">
        <v>0</v>
      </c>
      <c r="E313" s="1">
        <v>2</v>
      </c>
      <c r="F313" s="1">
        <v>22</v>
      </c>
      <c r="G313" s="1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x14ac:dyDescent="0.3">
      <c r="A314" s="1">
        <v>923</v>
      </c>
      <c r="B314" s="3">
        <v>40584</v>
      </c>
      <c r="C314" s="1">
        <v>1</v>
      </c>
      <c r="D314" s="1">
        <v>0</v>
      </c>
      <c r="E314" s="1">
        <v>2</v>
      </c>
      <c r="F314" s="1">
        <v>23</v>
      </c>
      <c r="G314" s="1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x14ac:dyDescent="0.3">
      <c r="A315" s="1">
        <v>924</v>
      </c>
      <c r="B315" s="3">
        <v>40585</v>
      </c>
      <c r="C315" s="1">
        <v>1</v>
      </c>
      <c r="D315" s="1">
        <v>0</v>
      </c>
      <c r="E315" s="1">
        <v>2</v>
      </c>
      <c r="F315" s="1">
        <v>0</v>
      </c>
      <c r="G315" s="1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x14ac:dyDescent="0.3">
      <c r="A316" s="1">
        <v>925</v>
      </c>
      <c r="B316" s="3">
        <v>40585</v>
      </c>
      <c r="C316" s="1">
        <v>1</v>
      </c>
      <c r="D316" s="1">
        <v>0</v>
      </c>
      <c r="E316" s="1">
        <v>2</v>
      </c>
      <c r="F316" s="1">
        <v>1</v>
      </c>
      <c r="G316" s="1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x14ac:dyDescent="0.3">
      <c r="A317" s="1">
        <v>926</v>
      </c>
      <c r="B317" s="3">
        <v>40585</v>
      </c>
      <c r="C317" s="1">
        <v>1</v>
      </c>
      <c r="D317" s="1">
        <v>0</v>
      </c>
      <c r="E317" s="1">
        <v>2</v>
      </c>
      <c r="F317" s="1">
        <v>2</v>
      </c>
      <c r="G317" s="1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x14ac:dyDescent="0.3">
      <c r="A318" s="1">
        <v>927</v>
      </c>
      <c r="B318" s="3">
        <v>40585</v>
      </c>
      <c r="C318" s="1">
        <v>1</v>
      </c>
      <c r="D318" s="1">
        <v>0</v>
      </c>
      <c r="E318" s="1">
        <v>2</v>
      </c>
      <c r="F318" s="1">
        <v>5</v>
      </c>
      <c r="G318" s="1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x14ac:dyDescent="0.3">
      <c r="A319" s="1">
        <v>928</v>
      </c>
      <c r="B319" s="3">
        <v>40585</v>
      </c>
      <c r="C319" s="1">
        <v>1</v>
      </c>
      <c r="D319" s="1">
        <v>0</v>
      </c>
      <c r="E319" s="1">
        <v>2</v>
      </c>
      <c r="F319" s="1">
        <v>6</v>
      </c>
      <c r="G319" s="1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x14ac:dyDescent="0.3">
      <c r="A320" s="1">
        <v>929</v>
      </c>
      <c r="B320" s="3">
        <v>40585</v>
      </c>
      <c r="C320" s="1">
        <v>1</v>
      </c>
      <c r="D320" s="1">
        <v>0</v>
      </c>
      <c r="E320" s="1">
        <v>2</v>
      </c>
      <c r="F320" s="1">
        <v>7</v>
      </c>
      <c r="G320" s="1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x14ac:dyDescent="0.3">
      <c r="A321" s="1">
        <v>930</v>
      </c>
      <c r="B321" s="3">
        <v>40585</v>
      </c>
      <c r="C321" s="1">
        <v>1</v>
      </c>
      <c r="D321" s="1">
        <v>0</v>
      </c>
      <c r="E321" s="1">
        <v>2</v>
      </c>
      <c r="F321" s="1">
        <v>8</v>
      </c>
      <c r="G321" s="1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x14ac:dyDescent="0.3">
      <c r="A322" s="1">
        <v>931</v>
      </c>
      <c r="B322" s="3">
        <v>40585</v>
      </c>
      <c r="C322" s="1">
        <v>1</v>
      </c>
      <c r="D322" s="1">
        <v>0</v>
      </c>
      <c r="E322" s="1">
        <v>2</v>
      </c>
      <c r="F322" s="1">
        <v>9</v>
      </c>
      <c r="G322" s="1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x14ac:dyDescent="0.3">
      <c r="A323" s="1">
        <v>932</v>
      </c>
      <c r="B323" s="3">
        <v>40585</v>
      </c>
      <c r="C323" s="1">
        <v>1</v>
      </c>
      <c r="D323" s="1">
        <v>0</v>
      </c>
      <c r="E323" s="1">
        <v>2</v>
      </c>
      <c r="F323" s="1">
        <v>10</v>
      </c>
      <c r="G323" s="1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x14ac:dyDescent="0.3">
      <c r="A324" s="1">
        <v>933</v>
      </c>
      <c r="B324" s="3">
        <v>40585</v>
      </c>
      <c r="C324" s="1">
        <v>1</v>
      </c>
      <c r="D324" s="1">
        <v>0</v>
      </c>
      <c r="E324" s="1">
        <v>2</v>
      </c>
      <c r="F324" s="1">
        <v>11</v>
      </c>
      <c r="G324" s="1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x14ac:dyDescent="0.3">
      <c r="A325" s="1">
        <v>934</v>
      </c>
      <c r="B325" s="3">
        <v>40585</v>
      </c>
      <c r="C325" s="1">
        <v>1</v>
      </c>
      <c r="D325" s="1">
        <v>0</v>
      </c>
      <c r="E325" s="1">
        <v>2</v>
      </c>
      <c r="F325" s="1">
        <v>12</v>
      </c>
      <c r="G325" s="1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x14ac:dyDescent="0.3">
      <c r="A326" s="1">
        <v>935</v>
      </c>
      <c r="B326" s="3">
        <v>40585</v>
      </c>
      <c r="C326" s="1">
        <v>1</v>
      </c>
      <c r="D326" s="1">
        <v>0</v>
      </c>
      <c r="E326" s="1">
        <v>2</v>
      </c>
      <c r="F326" s="1">
        <v>13</v>
      </c>
      <c r="G326" s="1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x14ac:dyDescent="0.3">
      <c r="A327" s="1">
        <v>936</v>
      </c>
      <c r="B327" s="3">
        <v>40585</v>
      </c>
      <c r="C327" s="1">
        <v>1</v>
      </c>
      <c r="D327" s="1">
        <v>0</v>
      </c>
      <c r="E327" s="1">
        <v>2</v>
      </c>
      <c r="F327" s="1">
        <v>14</v>
      </c>
      <c r="G327" s="1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x14ac:dyDescent="0.3">
      <c r="A328" s="1">
        <v>937</v>
      </c>
      <c r="B328" s="3">
        <v>40585</v>
      </c>
      <c r="C328" s="1">
        <v>1</v>
      </c>
      <c r="D328" s="1">
        <v>0</v>
      </c>
      <c r="E328" s="1">
        <v>2</v>
      </c>
      <c r="F328" s="1">
        <v>15</v>
      </c>
      <c r="G328" s="1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x14ac:dyDescent="0.3">
      <c r="A329" s="1">
        <v>938</v>
      </c>
      <c r="B329" s="3">
        <v>40585</v>
      </c>
      <c r="C329" s="1">
        <v>1</v>
      </c>
      <c r="D329" s="1">
        <v>0</v>
      </c>
      <c r="E329" s="1">
        <v>2</v>
      </c>
      <c r="F329" s="1">
        <v>16</v>
      </c>
      <c r="G329" s="1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x14ac:dyDescent="0.3">
      <c r="A330" s="1">
        <v>939</v>
      </c>
      <c r="B330" s="3">
        <v>40585</v>
      </c>
      <c r="C330" s="1">
        <v>1</v>
      </c>
      <c r="D330" s="1">
        <v>0</v>
      </c>
      <c r="E330" s="1">
        <v>2</v>
      </c>
      <c r="F330" s="1">
        <v>17</v>
      </c>
      <c r="G330" s="1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x14ac:dyDescent="0.3">
      <c r="A331" s="1">
        <v>940</v>
      </c>
      <c r="B331" s="3">
        <v>40585</v>
      </c>
      <c r="C331" s="1">
        <v>1</v>
      </c>
      <c r="D331" s="1">
        <v>0</v>
      </c>
      <c r="E331" s="1">
        <v>2</v>
      </c>
      <c r="F331" s="1">
        <v>18</v>
      </c>
      <c r="G331" s="1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x14ac:dyDescent="0.3">
      <c r="A332" s="1">
        <v>941</v>
      </c>
      <c r="B332" s="3">
        <v>40585</v>
      </c>
      <c r="C332" s="1">
        <v>1</v>
      </c>
      <c r="D332" s="1">
        <v>0</v>
      </c>
      <c r="E332" s="1">
        <v>2</v>
      </c>
      <c r="F332" s="1">
        <v>19</v>
      </c>
      <c r="G332" s="1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x14ac:dyDescent="0.3">
      <c r="A333" s="1">
        <v>942</v>
      </c>
      <c r="B333" s="3">
        <v>40585</v>
      </c>
      <c r="C333" s="1">
        <v>1</v>
      </c>
      <c r="D333" s="1">
        <v>0</v>
      </c>
      <c r="E333" s="1">
        <v>2</v>
      </c>
      <c r="F333" s="1">
        <v>20</v>
      </c>
      <c r="G333" s="1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x14ac:dyDescent="0.3">
      <c r="A334" s="1">
        <v>943</v>
      </c>
      <c r="B334" s="3">
        <v>40585</v>
      </c>
      <c r="C334" s="1">
        <v>1</v>
      </c>
      <c r="D334" s="1">
        <v>0</v>
      </c>
      <c r="E334" s="1">
        <v>2</v>
      </c>
      <c r="F334" s="1">
        <v>21</v>
      </c>
      <c r="G334" s="1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x14ac:dyDescent="0.3">
      <c r="A335" s="1">
        <v>944</v>
      </c>
      <c r="B335" s="3">
        <v>40585</v>
      </c>
      <c r="C335" s="1">
        <v>1</v>
      </c>
      <c r="D335" s="1">
        <v>0</v>
      </c>
      <c r="E335" s="1">
        <v>2</v>
      </c>
      <c r="F335" s="1">
        <v>22</v>
      </c>
      <c r="G335" s="1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x14ac:dyDescent="0.3">
      <c r="A336" s="1">
        <v>945</v>
      </c>
      <c r="B336" s="3">
        <v>40585</v>
      </c>
      <c r="C336" s="1">
        <v>1</v>
      </c>
      <c r="D336" s="1">
        <v>0</v>
      </c>
      <c r="E336" s="1">
        <v>2</v>
      </c>
      <c r="F336" s="1">
        <v>23</v>
      </c>
      <c r="G336" s="1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x14ac:dyDescent="0.3">
      <c r="A337" s="1">
        <v>946</v>
      </c>
      <c r="B337" s="3">
        <v>40586</v>
      </c>
      <c r="C337" s="1">
        <v>1</v>
      </c>
      <c r="D337" s="1">
        <v>0</v>
      </c>
      <c r="E337" s="1">
        <v>2</v>
      </c>
      <c r="F337" s="1">
        <v>0</v>
      </c>
      <c r="G337" s="1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x14ac:dyDescent="0.3">
      <c r="A338" s="1">
        <v>947</v>
      </c>
      <c r="B338" s="3">
        <v>40586</v>
      </c>
      <c r="C338" s="1">
        <v>1</v>
      </c>
      <c r="D338" s="1">
        <v>0</v>
      </c>
      <c r="E338" s="1">
        <v>2</v>
      </c>
      <c r="F338" s="1">
        <v>1</v>
      </c>
      <c r="G338" s="1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x14ac:dyDescent="0.3">
      <c r="A339" s="1">
        <v>948</v>
      </c>
      <c r="B339" s="3">
        <v>40586</v>
      </c>
      <c r="C339" s="1">
        <v>1</v>
      </c>
      <c r="D339" s="1">
        <v>0</v>
      </c>
      <c r="E339" s="1">
        <v>2</v>
      </c>
      <c r="F339" s="1">
        <v>2</v>
      </c>
      <c r="G339" s="1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x14ac:dyDescent="0.3">
      <c r="A340" s="1">
        <v>949</v>
      </c>
      <c r="B340" s="3">
        <v>40586</v>
      </c>
      <c r="C340" s="1">
        <v>1</v>
      </c>
      <c r="D340" s="1">
        <v>0</v>
      </c>
      <c r="E340" s="1">
        <v>2</v>
      </c>
      <c r="F340" s="1">
        <v>3</v>
      </c>
      <c r="G340" s="1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x14ac:dyDescent="0.3">
      <c r="A341" s="1">
        <v>950</v>
      </c>
      <c r="B341" s="3">
        <v>40586</v>
      </c>
      <c r="C341" s="1">
        <v>1</v>
      </c>
      <c r="D341" s="1">
        <v>0</v>
      </c>
      <c r="E341" s="1">
        <v>2</v>
      </c>
      <c r="F341" s="1">
        <v>4</v>
      </c>
      <c r="G341" s="1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x14ac:dyDescent="0.3">
      <c r="A342" s="1">
        <v>951</v>
      </c>
      <c r="B342" s="3">
        <v>40586</v>
      </c>
      <c r="C342" s="1">
        <v>1</v>
      </c>
      <c r="D342" s="1">
        <v>0</v>
      </c>
      <c r="E342" s="1">
        <v>2</v>
      </c>
      <c r="F342" s="1">
        <v>5</v>
      </c>
      <c r="G342" s="1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x14ac:dyDescent="0.3">
      <c r="A343" s="1">
        <v>952</v>
      </c>
      <c r="B343" s="3">
        <v>40586</v>
      </c>
      <c r="C343" s="1">
        <v>1</v>
      </c>
      <c r="D343" s="1">
        <v>0</v>
      </c>
      <c r="E343" s="1">
        <v>2</v>
      </c>
      <c r="F343" s="1">
        <v>6</v>
      </c>
      <c r="G343" s="1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x14ac:dyDescent="0.3">
      <c r="A344" s="1">
        <v>953</v>
      </c>
      <c r="B344" s="3">
        <v>40586</v>
      </c>
      <c r="C344" s="1">
        <v>1</v>
      </c>
      <c r="D344" s="1">
        <v>0</v>
      </c>
      <c r="E344" s="1">
        <v>2</v>
      </c>
      <c r="F344" s="1">
        <v>7</v>
      </c>
      <c r="G344" s="1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x14ac:dyDescent="0.3">
      <c r="A345" s="1">
        <v>954</v>
      </c>
      <c r="B345" s="3">
        <v>40586</v>
      </c>
      <c r="C345" s="1">
        <v>1</v>
      </c>
      <c r="D345" s="1">
        <v>0</v>
      </c>
      <c r="E345" s="1">
        <v>2</v>
      </c>
      <c r="F345" s="1">
        <v>8</v>
      </c>
      <c r="G345" s="1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x14ac:dyDescent="0.3">
      <c r="A346" s="1">
        <v>955</v>
      </c>
      <c r="B346" s="3">
        <v>40586</v>
      </c>
      <c r="C346" s="1">
        <v>1</v>
      </c>
      <c r="D346" s="1">
        <v>0</v>
      </c>
      <c r="E346" s="1">
        <v>2</v>
      </c>
      <c r="F346" s="1">
        <v>9</v>
      </c>
      <c r="G346" s="1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x14ac:dyDescent="0.3">
      <c r="A347" s="1">
        <v>956</v>
      </c>
      <c r="B347" s="3">
        <v>40586</v>
      </c>
      <c r="C347" s="1">
        <v>1</v>
      </c>
      <c r="D347" s="1">
        <v>0</v>
      </c>
      <c r="E347" s="1">
        <v>2</v>
      </c>
      <c r="F347" s="1">
        <v>10</v>
      </c>
      <c r="G347" s="1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x14ac:dyDescent="0.3">
      <c r="A348" s="1">
        <v>957</v>
      </c>
      <c r="B348" s="3">
        <v>40586</v>
      </c>
      <c r="C348" s="1">
        <v>1</v>
      </c>
      <c r="D348" s="1">
        <v>0</v>
      </c>
      <c r="E348" s="1">
        <v>2</v>
      </c>
      <c r="F348" s="1">
        <v>11</v>
      </c>
      <c r="G348" s="1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x14ac:dyDescent="0.3">
      <c r="A349" s="1">
        <v>958</v>
      </c>
      <c r="B349" s="3">
        <v>40586</v>
      </c>
      <c r="C349" s="1">
        <v>1</v>
      </c>
      <c r="D349" s="1">
        <v>0</v>
      </c>
      <c r="E349" s="1">
        <v>2</v>
      </c>
      <c r="F349" s="1">
        <v>12</v>
      </c>
      <c r="G349" s="1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x14ac:dyDescent="0.3">
      <c r="A350" s="1">
        <v>959</v>
      </c>
      <c r="B350" s="3">
        <v>40586</v>
      </c>
      <c r="C350" s="1">
        <v>1</v>
      </c>
      <c r="D350" s="1">
        <v>0</v>
      </c>
      <c r="E350" s="1">
        <v>2</v>
      </c>
      <c r="F350" s="1">
        <v>13</v>
      </c>
      <c r="G350" s="1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x14ac:dyDescent="0.3">
      <c r="A351" s="1">
        <v>960</v>
      </c>
      <c r="B351" s="3">
        <v>40586</v>
      </c>
      <c r="C351" s="1">
        <v>1</v>
      </c>
      <c r="D351" s="1">
        <v>0</v>
      </c>
      <c r="E351" s="1">
        <v>2</v>
      </c>
      <c r="F351" s="1">
        <v>14</v>
      </c>
      <c r="G351" s="1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x14ac:dyDescent="0.3">
      <c r="A352" s="1">
        <v>961</v>
      </c>
      <c r="B352" s="3">
        <v>40586</v>
      </c>
      <c r="C352" s="1">
        <v>1</v>
      </c>
      <c r="D352" s="1">
        <v>0</v>
      </c>
      <c r="E352" s="1">
        <v>2</v>
      </c>
      <c r="F352" s="1">
        <v>15</v>
      </c>
      <c r="G352" s="1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x14ac:dyDescent="0.3">
      <c r="A353" s="1">
        <v>962</v>
      </c>
      <c r="B353" s="3">
        <v>40586</v>
      </c>
      <c r="C353" s="1">
        <v>1</v>
      </c>
      <c r="D353" s="1">
        <v>0</v>
      </c>
      <c r="E353" s="1">
        <v>2</v>
      </c>
      <c r="F353" s="1">
        <v>16</v>
      </c>
      <c r="G353" s="1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x14ac:dyDescent="0.3">
      <c r="A354" s="1">
        <v>963</v>
      </c>
      <c r="B354" s="3">
        <v>40586</v>
      </c>
      <c r="C354" s="1">
        <v>1</v>
      </c>
      <c r="D354" s="1">
        <v>0</v>
      </c>
      <c r="E354" s="1">
        <v>2</v>
      </c>
      <c r="F354" s="1">
        <v>17</v>
      </c>
      <c r="G354" s="1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x14ac:dyDescent="0.3">
      <c r="A355" s="1">
        <v>964</v>
      </c>
      <c r="B355" s="3">
        <v>40586</v>
      </c>
      <c r="C355" s="1">
        <v>1</v>
      </c>
      <c r="D355" s="1">
        <v>0</v>
      </c>
      <c r="E355" s="1">
        <v>2</v>
      </c>
      <c r="F355" s="1">
        <v>18</v>
      </c>
      <c r="G355" s="1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x14ac:dyDescent="0.3">
      <c r="A356" s="1">
        <v>965</v>
      </c>
      <c r="B356" s="3">
        <v>40586</v>
      </c>
      <c r="C356" s="1">
        <v>1</v>
      </c>
      <c r="D356" s="1">
        <v>0</v>
      </c>
      <c r="E356" s="1">
        <v>2</v>
      </c>
      <c r="F356" s="1">
        <v>19</v>
      </c>
      <c r="G356" s="1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x14ac:dyDescent="0.3">
      <c r="A357" s="1">
        <v>966</v>
      </c>
      <c r="B357" s="3">
        <v>40586</v>
      </c>
      <c r="C357" s="1">
        <v>1</v>
      </c>
      <c r="D357" s="1">
        <v>0</v>
      </c>
      <c r="E357" s="1">
        <v>2</v>
      </c>
      <c r="F357" s="1">
        <v>20</v>
      </c>
      <c r="G357" s="1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x14ac:dyDescent="0.3">
      <c r="A358" s="1">
        <v>967</v>
      </c>
      <c r="B358" s="3">
        <v>40586</v>
      </c>
      <c r="C358" s="1">
        <v>1</v>
      </c>
      <c r="D358" s="1">
        <v>0</v>
      </c>
      <c r="E358" s="1">
        <v>2</v>
      </c>
      <c r="F358" s="1">
        <v>21</v>
      </c>
      <c r="G358" s="1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x14ac:dyDescent="0.3">
      <c r="A359" s="1">
        <v>968</v>
      </c>
      <c r="B359" s="3">
        <v>40586</v>
      </c>
      <c r="C359" s="1">
        <v>1</v>
      </c>
      <c r="D359" s="1">
        <v>0</v>
      </c>
      <c r="E359" s="1">
        <v>2</v>
      </c>
      <c r="F359" s="1">
        <v>22</v>
      </c>
      <c r="G359" s="1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x14ac:dyDescent="0.3">
      <c r="A360" s="1">
        <v>969</v>
      </c>
      <c r="B360" s="3">
        <v>40586</v>
      </c>
      <c r="C360" s="1">
        <v>1</v>
      </c>
      <c r="D360" s="1">
        <v>0</v>
      </c>
      <c r="E360" s="1">
        <v>2</v>
      </c>
      <c r="F360" s="1">
        <v>23</v>
      </c>
      <c r="G360" s="1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x14ac:dyDescent="0.3">
      <c r="A361" s="1">
        <v>970</v>
      </c>
      <c r="B361" s="3">
        <v>40587</v>
      </c>
      <c r="C361" s="1">
        <v>1</v>
      </c>
      <c r="D361" s="1">
        <v>0</v>
      </c>
      <c r="E361" s="1">
        <v>2</v>
      </c>
      <c r="F361" s="1">
        <v>0</v>
      </c>
      <c r="G361" s="1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x14ac:dyDescent="0.3">
      <c r="A362" s="1">
        <v>971</v>
      </c>
      <c r="B362" s="3">
        <v>40587</v>
      </c>
      <c r="C362" s="1">
        <v>1</v>
      </c>
      <c r="D362" s="1">
        <v>0</v>
      </c>
      <c r="E362" s="1">
        <v>2</v>
      </c>
      <c r="F362" s="1">
        <v>1</v>
      </c>
      <c r="G362" s="1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x14ac:dyDescent="0.3">
      <c r="A363" s="1">
        <v>972</v>
      </c>
      <c r="B363" s="3">
        <v>40587</v>
      </c>
      <c r="C363" s="1">
        <v>1</v>
      </c>
      <c r="D363" s="1">
        <v>0</v>
      </c>
      <c r="E363" s="1">
        <v>2</v>
      </c>
      <c r="F363" s="1">
        <v>2</v>
      </c>
      <c r="G363" s="1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x14ac:dyDescent="0.3">
      <c r="A364" s="1">
        <v>973</v>
      </c>
      <c r="B364" s="3">
        <v>40587</v>
      </c>
      <c r="C364" s="1">
        <v>1</v>
      </c>
      <c r="D364" s="1">
        <v>0</v>
      </c>
      <c r="E364" s="1">
        <v>2</v>
      </c>
      <c r="F364" s="1">
        <v>3</v>
      </c>
      <c r="G364" s="1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x14ac:dyDescent="0.3">
      <c r="A365" s="1">
        <v>974</v>
      </c>
      <c r="B365" s="3">
        <v>40587</v>
      </c>
      <c r="C365" s="1">
        <v>1</v>
      </c>
      <c r="D365" s="1">
        <v>0</v>
      </c>
      <c r="E365" s="1">
        <v>2</v>
      </c>
      <c r="F365" s="1">
        <v>4</v>
      </c>
      <c r="G365" s="1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x14ac:dyDescent="0.3">
      <c r="A366" s="1">
        <v>975</v>
      </c>
      <c r="B366" s="3">
        <v>40587</v>
      </c>
      <c r="C366" s="1">
        <v>1</v>
      </c>
      <c r="D366" s="1">
        <v>0</v>
      </c>
      <c r="E366" s="1">
        <v>2</v>
      </c>
      <c r="F366" s="1">
        <v>6</v>
      </c>
      <c r="G366" s="1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x14ac:dyDescent="0.3">
      <c r="A367" s="1">
        <v>976</v>
      </c>
      <c r="B367" s="3">
        <v>40587</v>
      </c>
      <c r="C367" s="1">
        <v>1</v>
      </c>
      <c r="D367" s="1">
        <v>0</v>
      </c>
      <c r="E367" s="1">
        <v>2</v>
      </c>
      <c r="F367" s="1">
        <v>7</v>
      </c>
      <c r="G367" s="1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x14ac:dyDescent="0.3">
      <c r="A368" s="1">
        <v>977</v>
      </c>
      <c r="B368" s="3">
        <v>40587</v>
      </c>
      <c r="C368" s="1">
        <v>1</v>
      </c>
      <c r="D368" s="1">
        <v>0</v>
      </c>
      <c r="E368" s="1">
        <v>2</v>
      </c>
      <c r="F368" s="1">
        <v>8</v>
      </c>
      <c r="G368" s="1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x14ac:dyDescent="0.3">
      <c r="A369" s="1">
        <v>978</v>
      </c>
      <c r="B369" s="3">
        <v>40587</v>
      </c>
      <c r="C369" s="1">
        <v>1</v>
      </c>
      <c r="D369" s="1">
        <v>0</v>
      </c>
      <c r="E369" s="1">
        <v>2</v>
      </c>
      <c r="F369" s="1">
        <v>9</v>
      </c>
      <c r="G369" s="1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x14ac:dyDescent="0.3">
      <c r="A370" s="1">
        <v>979</v>
      </c>
      <c r="B370" s="3">
        <v>40587</v>
      </c>
      <c r="C370" s="1">
        <v>1</v>
      </c>
      <c r="D370" s="1">
        <v>0</v>
      </c>
      <c r="E370" s="1">
        <v>2</v>
      </c>
      <c r="F370" s="1">
        <v>10</v>
      </c>
      <c r="G370" s="1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x14ac:dyDescent="0.3">
      <c r="A371" s="1">
        <v>980</v>
      </c>
      <c r="B371" s="3">
        <v>40587</v>
      </c>
      <c r="C371" s="1">
        <v>1</v>
      </c>
      <c r="D371" s="1">
        <v>0</v>
      </c>
      <c r="E371" s="1">
        <v>2</v>
      </c>
      <c r="F371" s="1">
        <v>11</v>
      </c>
      <c r="G371" s="1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x14ac:dyDescent="0.3">
      <c r="A372" s="1">
        <v>981</v>
      </c>
      <c r="B372" s="3">
        <v>40587</v>
      </c>
      <c r="C372" s="1">
        <v>1</v>
      </c>
      <c r="D372" s="1">
        <v>0</v>
      </c>
      <c r="E372" s="1">
        <v>2</v>
      </c>
      <c r="F372" s="1">
        <v>12</v>
      </c>
      <c r="G372" s="1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x14ac:dyDescent="0.3">
      <c r="A373" s="1">
        <v>982</v>
      </c>
      <c r="B373" s="3">
        <v>40587</v>
      </c>
      <c r="C373" s="1">
        <v>1</v>
      </c>
      <c r="D373" s="1">
        <v>0</v>
      </c>
      <c r="E373" s="1">
        <v>2</v>
      </c>
      <c r="F373" s="1">
        <v>13</v>
      </c>
      <c r="G373" s="1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x14ac:dyDescent="0.3">
      <c r="A374" s="1">
        <v>983</v>
      </c>
      <c r="B374" s="3">
        <v>40587</v>
      </c>
      <c r="C374" s="1">
        <v>1</v>
      </c>
      <c r="D374" s="1">
        <v>0</v>
      </c>
      <c r="E374" s="1">
        <v>2</v>
      </c>
      <c r="F374" s="1">
        <v>14</v>
      </c>
      <c r="G374" s="1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x14ac:dyDescent="0.3">
      <c r="A375" s="1">
        <v>984</v>
      </c>
      <c r="B375" s="3">
        <v>40587</v>
      </c>
      <c r="C375" s="1">
        <v>1</v>
      </c>
      <c r="D375" s="1">
        <v>0</v>
      </c>
      <c r="E375" s="1">
        <v>2</v>
      </c>
      <c r="F375" s="1">
        <v>15</v>
      </c>
      <c r="G375" s="1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x14ac:dyDescent="0.3">
      <c r="A376" s="1">
        <v>985</v>
      </c>
      <c r="B376" s="3">
        <v>40587</v>
      </c>
      <c r="C376" s="1">
        <v>1</v>
      </c>
      <c r="D376" s="1">
        <v>0</v>
      </c>
      <c r="E376" s="1">
        <v>2</v>
      </c>
      <c r="F376" s="1">
        <v>16</v>
      </c>
      <c r="G376" s="1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x14ac:dyDescent="0.3">
      <c r="A377" s="1">
        <v>986</v>
      </c>
      <c r="B377" s="3">
        <v>40587</v>
      </c>
      <c r="C377" s="1">
        <v>1</v>
      </c>
      <c r="D377" s="1">
        <v>0</v>
      </c>
      <c r="E377" s="1">
        <v>2</v>
      </c>
      <c r="F377" s="1">
        <v>17</v>
      </c>
      <c r="G377" s="1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x14ac:dyDescent="0.3">
      <c r="A378" s="1">
        <v>987</v>
      </c>
      <c r="B378" s="3">
        <v>40587</v>
      </c>
      <c r="C378" s="1">
        <v>1</v>
      </c>
      <c r="D378" s="1">
        <v>0</v>
      </c>
      <c r="E378" s="1">
        <v>2</v>
      </c>
      <c r="F378" s="1">
        <v>18</v>
      </c>
      <c r="G378" s="1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x14ac:dyDescent="0.3">
      <c r="A379" s="1">
        <v>988</v>
      </c>
      <c r="B379" s="3">
        <v>40587</v>
      </c>
      <c r="C379" s="1">
        <v>1</v>
      </c>
      <c r="D379" s="1">
        <v>0</v>
      </c>
      <c r="E379" s="1">
        <v>2</v>
      </c>
      <c r="F379" s="1">
        <v>19</v>
      </c>
      <c r="G379" s="1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x14ac:dyDescent="0.3">
      <c r="A380" s="1">
        <v>989</v>
      </c>
      <c r="B380" s="3">
        <v>40587</v>
      </c>
      <c r="C380" s="1">
        <v>1</v>
      </c>
      <c r="D380" s="1">
        <v>0</v>
      </c>
      <c r="E380" s="1">
        <v>2</v>
      </c>
      <c r="F380" s="1">
        <v>20</v>
      </c>
      <c r="G380" s="1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x14ac:dyDescent="0.3">
      <c r="A381" s="1">
        <v>990</v>
      </c>
      <c r="B381" s="3">
        <v>40587</v>
      </c>
      <c r="C381" s="1">
        <v>1</v>
      </c>
      <c r="D381" s="1">
        <v>0</v>
      </c>
      <c r="E381" s="1">
        <v>2</v>
      </c>
      <c r="F381" s="1">
        <v>21</v>
      </c>
      <c r="G381" s="1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x14ac:dyDescent="0.3">
      <c r="A382" s="1">
        <v>991</v>
      </c>
      <c r="B382" s="3">
        <v>40587</v>
      </c>
      <c r="C382" s="1">
        <v>1</v>
      </c>
      <c r="D382" s="1">
        <v>0</v>
      </c>
      <c r="E382" s="1">
        <v>2</v>
      </c>
      <c r="F382" s="1">
        <v>22</v>
      </c>
      <c r="G382" s="1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x14ac:dyDescent="0.3">
      <c r="A383" s="1">
        <v>992</v>
      </c>
      <c r="B383" s="3">
        <v>40587</v>
      </c>
      <c r="C383" s="1">
        <v>1</v>
      </c>
      <c r="D383" s="1">
        <v>0</v>
      </c>
      <c r="E383" s="1">
        <v>2</v>
      </c>
      <c r="F383" s="1">
        <v>23</v>
      </c>
      <c r="G383" s="1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x14ac:dyDescent="0.3">
      <c r="A384" s="1">
        <v>993</v>
      </c>
      <c r="B384" s="3">
        <v>40588</v>
      </c>
      <c r="C384" s="1">
        <v>1</v>
      </c>
      <c r="D384" s="1">
        <v>0</v>
      </c>
      <c r="E384" s="1">
        <v>2</v>
      </c>
      <c r="F384" s="1">
        <v>0</v>
      </c>
      <c r="G384" s="1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x14ac:dyDescent="0.3">
      <c r="A385" s="1">
        <v>994</v>
      </c>
      <c r="B385" s="3">
        <v>40588</v>
      </c>
      <c r="C385" s="1">
        <v>1</v>
      </c>
      <c r="D385" s="1">
        <v>0</v>
      </c>
      <c r="E385" s="1">
        <v>2</v>
      </c>
      <c r="F385" s="1">
        <v>1</v>
      </c>
      <c r="G385" s="1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x14ac:dyDescent="0.3">
      <c r="A386" s="1">
        <v>995</v>
      </c>
      <c r="B386" s="3">
        <v>40588</v>
      </c>
      <c r="C386" s="1">
        <v>1</v>
      </c>
      <c r="D386" s="1">
        <v>0</v>
      </c>
      <c r="E386" s="1">
        <v>2</v>
      </c>
      <c r="F386" s="1">
        <v>2</v>
      </c>
      <c r="G386" s="1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x14ac:dyDescent="0.3">
      <c r="A387" s="1">
        <v>996</v>
      </c>
      <c r="B387" s="3">
        <v>40588</v>
      </c>
      <c r="C387" s="1">
        <v>1</v>
      </c>
      <c r="D387" s="1">
        <v>0</v>
      </c>
      <c r="E387" s="1">
        <v>2</v>
      </c>
      <c r="F387" s="1">
        <v>3</v>
      </c>
      <c r="G387" s="1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x14ac:dyDescent="0.3">
      <c r="A388" s="1">
        <v>997</v>
      </c>
      <c r="B388" s="3">
        <v>40588</v>
      </c>
      <c r="C388" s="1">
        <v>1</v>
      </c>
      <c r="D388" s="1">
        <v>0</v>
      </c>
      <c r="E388" s="1">
        <v>2</v>
      </c>
      <c r="F388" s="1">
        <v>4</v>
      </c>
      <c r="G388" s="1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x14ac:dyDescent="0.3">
      <c r="A389" s="1">
        <v>998</v>
      </c>
      <c r="B389" s="3">
        <v>40588</v>
      </c>
      <c r="C389" s="1">
        <v>1</v>
      </c>
      <c r="D389" s="1">
        <v>0</v>
      </c>
      <c r="E389" s="1">
        <v>2</v>
      </c>
      <c r="F389" s="1">
        <v>5</v>
      </c>
      <c r="G389" s="1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x14ac:dyDescent="0.3">
      <c r="A390" s="1">
        <v>999</v>
      </c>
      <c r="B390" s="3">
        <v>40588</v>
      </c>
      <c r="C390" s="1">
        <v>1</v>
      </c>
      <c r="D390" s="1">
        <v>0</v>
      </c>
      <c r="E390" s="1">
        <v>2</v>
      </c>
      <c r="F390" s="1">
        <v>6</v>
      </c>
      <c r="G390" s="1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x14ac:dyDescent="0.3">
      <c r="A391" s="1">
        <v>1000</v>
      </c>
      <c r="B391" s="3">
        <v>40588</v>
      </c>
      <c r="C391" s="1">
        <v>1</v>
      </c>
      <c r="D391" s="1">
        <v>0</v>
      </c>
      <c r="E391" s="1">
        <v>2</v>
      </c>
      <c r="F391" s="1">
        <v>7</v>
      </c>
      <c r="G391" s="1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</sheetData>
  <mergeCells count="3">
    <mergeCell ref="R6:T6"/>
    <mergeCell ref="R11:T11"/>
    <mergeCell ref="R15:S1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FD6E-5805-4DF8-B8E3-74FC5BCA7A79}">
  <dimension ref="B1:L52"/>
  <sheetViews>
    <sheetView topLeftCell="E42" workbookViewId="0">
      <selection activeCell="M66" sqref="M66"/>
    </sheetView>
  </sheetViews>
  <sheetFormatPr defaultRowHeight="14.4" x14ac:dyDescent="0.3"/>
  <cols>
    <col min="1" max="1" width="12.5546875" bestFit="1" customWidth="1"/>
    <col min="2" max="2" width="11.6640625" customWidth="1"/>
    <col min="3" max="3" width="10.109375" bestFit="1" customWidth="1"/>
    <col min="4" max="4" width="17.33203125" customWidth="1"/>
    <col min="5" max="72" width="15.88671875" bestFit="1" customWidth="1"/>
    <col min="73" max="73" width="17.5546875" bestFit="1" customWidth="1"/>
    <col min="74" max="74" width="14.88671875" bestFit="1" customWidth="1"/>
    <col min="75" max="75" width="20.6640625" bestFit="1" customWidth="1"/>
    <col min="76" max="573" width="15.88671875" bestFit="1" customWidth="1"/>
    <col min="574" max="574" width="14" bestFit="1" customWidth="1"/>
    <col min="575" max="575" width="17.5546875" bestFit="1" customWidth="1"/>
    <col min="576" max="576" width="20.6640625" bestFit="1" customWidth="1"/>
    <col min="577" max="577" width="11.6640625" bestFit="1" customWidth="1"/>
    <col min="578" max="578" width="15.21875" bestFit="1" customWidth="1"/>
    <col min="579" max="596" width="12.6640625" bestFit="1" customWidth="1"/>
    <col min="597" max="597" width="11.6640625" bestFit="1" customWidth="1"/>
    <col min="598" max="598" width="15.21875" bestFit="1" customWidth="1"/>
    <col min="599" max="612" width="12.6640625" bestFit="1" customWidth="1"/>
    <col min="613" max="613" width="11.6640625" bestFit="1" customWidth="1"/>
    <col min="614" max="614" width="15.21875" bestFit="1" customWidth="1"/>
    <col min="615" max="638" width="12.6640625" bestFit="1" customWidth="1"/>
    <col min="639" max="639" width="11.6640625" bestFit="1" customWidth="1"/>
    <col min="640" max="640" width="15.21875" bestFit="1" customWidth="1"/>
    <col min="641" max="652" width="12.6640625" bestFit="1" customWidth="1"/>
    <col min="653" max="653" width="11.6640625" bestFit="1" customWidth="1"/>
    <col min="654" max="654" width="15.21875" bestFit="1" customWidth="1"/>
    <col min="655" max="674" width="12.6640625" bestFit="1" customWidth="1"/>
    <col min="675" max="675" width="11.6640625" bestFit="1" customWidth="1"/>
    <col min="676" max="676" width="15.21875" bestFit="1" customWidth="1"/>
    <col min="677" max="696" width="12.6640625" bestFit="1" customWidth="1"/>
    <col min="697" max="697" width="11.6640625" bestFit="1" customWidth="1"/>
    <col min="698" max="698" width="15.21875" bestFit="1" customWidth="1"/>
    <col min="699" max="714" width="12.6640625" bestFit="1" customWidth="1"/>
    <col min="715" max="715" width="11.6640625" bestFit="1" customWidth="1"/>
    <col min="716" max="716" width="15.21875" bestFit="1" customWidth="1"/>
    <col min="717" max="734" width="12.6640625" bestFit="1" customWidth="1"/>
    <col min="735" max="735" width="11.6640625" bestFit="1" customWidth="1"/>
    <col min="736" max="736" width="15.21875" bestFit="1" customWidth="1"/>
    <col min="737" max="742" width="12.6640625" bestFit="1" customWidth="1"/>
    <col min="743" max="743" width="11.6640625" bestFit="1" customWidth="1"/>
    <col min="744" max="744" width="15.21875" bestFit="1" customWidth="1"/>
    <col min="745" max="760" width="12.6640625" bestFit="1" customWidth="1"/>
    <col min="761" max="761" width="11.6640625" bestFit="1" customWidth="1"/>
    <col min="762" max="762" width="15.21875" bestFit="1" customWidth="1"/>
    <col min="763" max="772" width="12.6640625" bestFit="1" customWidth="1"/>
    <col min="773" max="773" width="11.6640625" bestFit="1" customWidth="1"/>
    <col min="774" max="774" width="15.21875" bestFit="1" customWidth="1"/>
    <col min="775" max="784" width="12.6640625" bestFit="1" customWidth="1"/>
    <col min="785" max="785" width="11.6640625" bestFit="1" customWidth="1"/>
    <col min="786" max="786" width="15.21875" bestFit="1" customWidth="1"/>
    <col min="787" max="796" width="12.6640625" bestFit="1" customWidth="1"/>
    <col min="797" max="797" width="11.6640625" bestFit="1" customWidth="1"/>
    <col min="798" max="798" width="15.21875" bestFit="1" customWidth="1"/>
    <col min="799" max="810" width="12.6640625" bestFit="1" customWidth="1"/>
    <col min="811" max="811" width="11.6640625" bestFit="1" customWidth="1"/>
    <col min="812" max="812" width="15.21875" bestFit="1" customWidth="1"/>
    <col min="813" max="828" width="12.6640625" bestFit="1" customWidth="1"/>
    <col min="829" max="829" width="11.6640625" bestFit="1" customWidth="1"/>
    <col min="830" max="830" width="15.21875" bestFit="1" customWidth="1"/>
    <col min="831" max="840" width="12.6640625" bestFit="1" customWidth="1"/>
    <col min="841" max="841" width="11.6640625" bestFit="1" customWidth="1"/>
    <col min="842" max="842" width="15.21875" bestFit="1" customWidth="1"/>
    <col min="843" max="854" width="12.6640625" bestFit="1" customWidth="1"/>
    <col min="855" max="855" width="11.6640625" bestFit="1" customWidth="1"/>
    <col min="856" max="856" width="15.21875" bestFit="1" customWidth="1"/>
    <col min="857" max="866" width="12.6640625" bestFit="1" customWidth="1"/>
    <col min="867" max="867" width="11.6640625" bestFit="1" customWidth="1"/>
    <col min="868" max="868" width="15.21875" bestFit="1" customWidth="1"/>
    <col min="869" max="878" width="12.6640625" bestFit="1" customWidth="1"/>
    <col min="879" max="879" width="11.6640625" bestFit="1" customWidth="1"/>
    <col min="880" max="880" width="15.21875" bestFit="1" customWidth="1"/>
    <col min="881" max="892" width="12.6640625" bestFit="1" customWidth="1"/>
    <col min="893" max="893" width="11.6640625" bestFit="1" customWidth="1"/>
    <col min="894" max="894" width="15.21875" bestFit="1" customWidth="1"/>
    <col min="895" max="906" width="12.6640625" bestFit="1" customWidth="1"/>
    <col min="907" max="907" width="11.6640625" bestFit="1" customWidth="1"/>
    <col min="908" max="908" width="15.21875" bestFit="1" customWidth="1"/>
    <col min="909" max="920" width="12.6640625" bestFit="1" customWidth="1"/>
    <col min="921" max="921" width="11.6640625" bestFit="1" customWidth="1"/>
    <col min="922" max="922" width="15.21875" bestFit="1" customWidth="1"/>
    <col min="923" max="934" width="12.6640625" bestFit="1" customWidth="1"/>
    <col min="935" max="935" width="11.6640625" bestFit="1" customWidth="1"/>
    <col min="936" max="936" width="15.21875" bestFit="1" customWidth="1"/>
    <col min="937" max="946" width="12.6640625" bestFit="1" customWidth="1"/>
    <col min="947" max="947" width="11.6640625" bestFit="1" customWidth="1"/>
    <col min="948" max="948" width="15.21875" bestFit="1" customWidth="1"/>
    <col min="949" max="958" width="12.6640625" bestFit="1" customWidth="1"/>
    <col min="959" max="959" width="11.6640625" bestFit="1" customWidth="1"/>
    <col min="960" max="960" width="15.21875" bestFit="1" customWidth="1"/>
    <col min="961" max="970" width="12.6640625" bestFit="1" customWidth="1"/>
    <col min="971" max="971" width="11.6640625" bestFit="1" customWidth="1"/>
    <col min="972" max="972" width="15.21875" bestFit="1" customWidth="1"/>
    <col min="973" max="984" width="12.6640625" bestFit="1" customWidth="1"/>
    <col min="985" max="985" width="11.6640625" bestFit="1" customWidth="1"/>
    <col min="986" max="986" width="15.21875" bestFit="1" customWidth="1"/>
    <col min="987" max="992" width="12.6640625" bestFit="1" customWidth="1"/>
    <col min="993" max="993" width="11.6640625" bestFit="1" customWidth="1"/>
    <col min="994" max="994" width="15.21875" bestFit="1" customWidth="1"/>
    <col min="995" max="1008" width="12.6640625" bestFit="1" customWidth="1"/>
    <col min="1009" max="1009" width="11.6640625" bestFit="1" customWidth="1"/>
    <col min="1010" max="1010" width="15.21875" bestFit="1" customWidth="1"/>
    <col min="1011" max="1018" width="12.6640625" bestFit="1" customWidth="1"/>
    <col min="1019" max="1019" width="11.6640625" bestFit="1" customWidth="1"/>
    <col min="1020" max="1020" width="15.21875" bestFit="1" customWidth="1"/>
    <col min="1021" max="1026" width="12.6640625" bestFit="1" customWidth="1"/>
    <col min="1027" max="1027" width="11.6640625" bestFit="1" customWidth="1"/>
    <col min="1028" max="1028" width="15.21875" bestFit="1" customWidth="1"/>
    <col min="1029" max="1034" width="12.6640625" bestFit="1" customWidth="1"/>
    <col min="1035" max="1035" width="11.6640625" bestFit="1" customWidth="1"/>
    <col min="1036" max="1036" width="15.21875" bestFit="1" customWidth="1"/>
    <col min="1037" max="1050" width="12.6640625" bestFit="1" customWidth="1"/>
    <col min="1051" max="1051" width="11.6640625" bestFit="1" customWidth="1"/>
    <col min="1052" max="1052" width="15.21875" bestFit="1" customWidth="1"/>
    <col min="1053" max="1060" width="12.6640625" bestFit="1" customWidth="1"/>
    <col min="1061" max="1061" width="11.6640625" bestFit="1" customWidth="1"/>
    <col min="1062" max="1062" width="15.21875" bestFit="1" customWidth="1"/>
    <col min="1063" max="1068" width="12.6640625" bestFit="1" customWidth="1"/>
    <col min="1069" max="1069" width="11.6640625" bestFit="1" customWidth="1"/>
    <col min="1070" max="1070" width="15.21875" bestFit="1" customWidth="1"/>
    <col min="1071" max="1078" width="12.6640625" bestFit="1" customWidth="1"/>
    <col min="1079" max="1079" width="11.6640625" bestFit="1" customWidth="1"/>
    <col min="1080" max="1080" width="15.21875" bestFit="1" customWidth="1"/>
    <col min="1081" max="1088" width="12.6640625" bestFit="1" customWidth="1"/>
    <col min="1089" max="1089" width="11.6640625" bestFit="1" customWidth="1"/>
    <col min="1090" max="1090" width="15.21875" bestFit="1" customWidth="1"/>
    <col min="1091" max="1098" width="12.6640625" bestFit="1" customWidth="1"/>
    <col min="1099" max="1099" width="11.6640625" bestFit="1" customWidth="1"/>
    <col min="1100" max="1100" width="15.21875" bestFit="1" customWidth="1"/>
    <col min="1101" max="1104" width="12.6640625" bestFit="1" customWidth="1"/>
    <col min="1105" max="1105" width="11.6640625" bestFit="1" customWidth="1"/>
    <col min="1106" max="1106" width="15.21875" bestFit="1" customWidth="1"/>
    <col min="1107" max="1118" width="12.6640625" bestFit="1" customWidth="1"/>
    <col min="1119" max="1119" width="11.6640625" bestFit="1" customWidth="1"/>
    <col min="1120" max="1120" width="15.21875" bestFit="1" customWidth="1"/>
    <col min="1121" max="1124" width="12.6640625" bestFit="1" customWidth="1"/>
    <col min="1125" max="1125" width="11.6640625" bestFit="1" customWidth="1"/>
    <col min="1126" max="1126" width="15.21875" bestFit="1" customWidth="1"/>
    <col min="1127" max="1128" width="12.6640625" bestFit="1" customWidth="1"/>
    <col min="1129" max="1129" width="11.6640625" bestFit="1" customWidth="1"/>
    <col min="1130" max="1130" width="15.21875" bestFit="1" customWidth="1"/>
    <col min="1131" max="1142" width="12.6640625" bestFit="1" customWidth="1"/>
    <col min="1143" max="1143" width="11.6640625" bestFit="1" customWidth="1"/>
    <col min="1144" max="1144" width="15.21875" bestFit="1" customWidth="1"/>
    <col min="1145" max="1154" width="12.6640625" bestFit="1" customWidth="1"/>
    <col min="1155" max="1155" width="11.6640625" bestFit="1" customWidth="1"/>
    <col min="1156" max="1156" width="15.21875" bestFit="1" customWidth="1"/>
    <col min="1157" max="1164" width="12.6640625" bestFit="1" customWidth="1"/>
    <col min="1165" max="1165" width="11.6640625" bestFit="1" customWidth="1"/>
    <col min="1166" max="1166" width="15.21875" bestFit="1" customWidth="1"/>
    <col min="1167" max="1184" width="12.6640625" bestFit="1" customWidth="1"/>
    <col min="1185" max="1185" width="11.6640625" bestFit="1" customWidth="1"/>
    <col min="1186" max="1186" width="15.21875" bestFit="1" customWidth="1"/>
    <col min="1187" max="1188" width="12.6640625" bestFit="1" customWidth="1"/>
    <col min="1189" max="1189" width="11.6640625" bestFit="1" customWidth="1"/>
    <col min="1190" max="1190" width="15.21875" bestFit="1" customWidth="1"/>
    <col min="1191" max="1198" width="12.6640625" bestFit="1" customWidth="1"/>
    <col min="1199" max="1199" width="11.6640625" bestFit="1" customWidth="1"/>
    <col min="1200" max="1200" width="15.21875" bestFit="1" customWidth="1"/>
    <col min="1201" max="1210" width="12.6640625" bestFit="1" customWidth="1"/>
    <col min="1211" max="1211" width="11.6640625" bestFit="1" customWidth="1"/>
    <col min="1212" max="1212" width="15.21875" bestFit="1" customWidth="1"/>
    <col min="1213" max="1214" width="12.6640625" bestFit="1" customWidth="1"/>
    <col min="1215" max="1215" width="11.6640625" bestFit="1" customWidth="1"/>
    <col min="1216" max="1216" width="15.21875" bestFit="1" customWidth="1"/>
    <col min="1217" max="1219" width="12.6640625" bestFit="1" customWidth="1"/>
    <col min="1220" max="1220" width="16.21875" bestFit="1" customWidth="1"/>
    <col min="1221" max="1225" width="12.6640625" bestFit="1" customWidth="1"/>
    <col min="1226" max="1226" width="16.21875" bestFit="1" customWidth="1"/>
    <col min="1227" max="1233" width="12.6640625" bestFit="1" customWidth="1"/>
    <col min="1234" max="1234" width="16.21875" bestFit="1" customWidth="1"/>
    <col min="1235" max="1243" width="12.6640625" bestFit="1" customWidth="1"/>
    <col min="1244" max="1244" width="16.21875" bestFit="1" customWidth="1"/>
    <col min="1245" max="1249" width="12.6640625" bestFit="1" customWidth="1"/>
    <col min="1250" max="1250" width="16.21875" bestFit="1" customWidth="1"/>
    <col min="1251" max="1253" width="12.6640625" bestFit="1" customWidth="1"/>
    <col min="1254" max="1254" width="16.21875" bestFit="1" customWidth="1"/>
    <col min="1255" max="1257" width="12.6640625" bestFit="1" customWidth="1"/>
    <col min="1258" max="1258" width="16.21875" bestFit="1" customWidth="1"/>
    <col min="1259" max="1261" width="12.6640625" bestFit="1" customWidth="1"/>
    <col min="1262" max="1262" width="16.21875" bestFit="1" customWidth="1"/>
    <col min="1263" max="1271" width="12.6640625" bestFit="1" customWidth="1"/>
    <col min="1272" max="1272" width="16.21875" bestFit="1" customWidth="1"/>
    <col min="1273" max="1277" width="12.6640625" bestFit="1" customWidth="1"/>
    <col min="1278" max="1278" width="16.21875" bestFit="1" customWidth="1"/>
    <col min="1279" max="1283" width="12.6640625" bestFit="1" customWidth="1"/>
    <col min="1284" max="1284" width="16.21875" bestFit="1" customWidth="1"/>
    <col min="1285" max="1287" width="12.6640625" bestFit="1" customWidth="1"/>
    <col min="1288" max="1288" width="16.21875" bestFit="1" customWidth="1"/>
    <col min="1289" max="1291" width="12.6640625" bestFit="1" customWidth="1"/>
    <col min="1292" max="1292" width="16.21875" bestFit="1" customWidth="1"/>
    <col min="1293" max="1295" width="12.6640625" bestFit="1" customWidth="1"/>
    <col min="1296" max="1296" width="16.21875" bestFit="1" customWidth="1"/>
    <col min="1297" max="1301" width="12.6640625" bestFit="1" customWidth="1"/>
    <col min="1302" max="1302" width="16.21875" bestFit="1" customWidth="1"/>
    <col min="1303" max="1307" width="12.6640625" bestFit="1" customWidth="1"/>
    <col min="1308" max="1308" width="16.21875" bestFit="1" customWidth="1"/>
    <col min="1309" max="1313" width="12.6640625" bestFit="1" customWidth="1"/>
    <col min="1314" max="1314" width="16.21875" bestFit="1" customWidth="1"/>
    <col min="1315" max="1317" width="12.6640625" bestFit="1" customWidth="1"/>
    <col min="1318" max="1318" width="16.21875" bestFit="1" customWidth="1"/>
    <col min="1319" max="1323" width="12.6640625" bestFit="1" customWidth="1"/>
    <col min="1324" max="1324" width="16.21875" bestFit="1" customWidth="1"/>
    <col min="1325" max="1327" width="12.6640625" bestFit="1" customWidth="1"/>
    <col min="1328" max="1328" width="16.21875" bestFit="1" customWidth="1"/>
    <col min="1329" max="1331" width="12.6640625" bestFit="1" customWidth="1"/>
    <col min="1332" max="1332" width="16.21875" bestFit="1" customWidth="1"/>
    <col min="1333" max="1335" width="12.6640625" bestFit="1" customWidth="1"/>
    <col min="1336" max="1336" width="16.21875" bestFit="1" customWidth="1"/>
    <col min="1337" max="1343" width="12.6640625" bestFit="1" customWidth="1"/>
    <col min="1344" max="1344" width="16.21875" bestFit="1" customWidth="1"/>
    <col min="1345" max="1349" width="12.6640625" bestFit="1" customWidth="1"/>
    <col min="1350" max="1350" width="16.21875" bestFit="1" customWidth="1"/>
    <col min="1351" max="1353" width="12.6640625" bestFit="1" customWidth="1"/>
    <col min="1354" max="1354" width="16.21875" bestFit="1" customWidth="1"/>
    <col min="1355" max="1363" width="12.6640625" bestFit="1" customWidth="1"/>
    <col min="1364" max="1364" width="16.21875" bestFit="1" customWidth="1"/>
    <col min="1365" max="1367" width="12.6640625" bestFit="1" customWidth="1"/>
    <col min="1368" max="1368" width="16.21875" bestFit="1" customWidth="1"/>
    <col min="1369" max="1373" width="12.6640625" bestFit="1" customWidth="1"/>
    <col min="1374" max="1374" width="16.21875" bestFit="1" customWidth="1"/>
    <col min="1375" max="1381" width="12.6640625" bestFit="1" customWidth="1"/>
    <col min="1382" max="1382" width="16.21875" bestFit="1" customWidth="1"/>
    <col min="1383" max="1385" width="12.6640625" bestFit="1" customWidth="1"/>
    <col min="1386" max="1386" width="16.21875" bestFit="1" customWidth="1"/>
    <col min="1387" max="1391" width="12.6640625" bestFit="1" customWidth="1"/>
    <col min="1392" max="1392" width="16.21875" bestFit="1" customWidth="1"/>
    <col min="1393" max="1397" width="12.6640625" bestFit="1" customWidth="1"/>
    <col min="1398" max="1398" width="16.21875" bestFit="1" customWidth="1"/>
    <col min="1399" max="1401" width="12.6640625" bestFit="1" customWidth="1"/>
    <col min="1402" max="1402" width="16.21875" bestFit="1" customWidth="1"/>
    <col min="1403" max="1405" width="12.6640625" bestFit="1" customWidth="1"/>
    <col min="1406" max="1406" width="16.21875" bestFit="1" customWidth="1"/>
    <col min="1407" max="1409" width="12.6640625" bestFit="1" customWidth="1"/>
    <col min="1410" max="1410" width="16.21875" bestFit="1" customWidth="1"/>
    <col min="1411" max="1413" width="12.6640625" bestFit="1" customWidth="1"/>
    <col min="1414" max="1414" width="16.21875" bestFit="1" customWidth="1"/>
    <col min="1415" max="1419" width="12.6640625" bestFit="1" customWidth="1"/>
    <col min="1420" max="1420" width="16.21875" bestFit="1" customWidth="1"/>
    <col min="1421" max="1425" width="12.6640625" bestFit="1" customWidth="1"/>
    <col min="1426" max="1426" width="16.21875" bestFit="1" customWidth="1"/>
    <col min="1427" max="1429" width="12.6640625" bestFit="1" customWidth="1"/>
    <col min="1430" max="1430" width="16.21875" bestFit="1" customWidth="1"/>
    <col min="1431" max="1433" width="12.6640625" bestFit="1" customWidth="1"/>
    <col min="1434" max="1434" width="16.21875" bestFit="1" customWidth="1"/>
    <col min="1435" max="1439" width="12.6640625" bestFit="1" customWidth="1"/>
    <col min="1440" max="1440" width="16.21875" bestFit="1" customWidth="1"/>
    <col min="1441" max="1443" width="12.6640625" bestFit="1" customWidth="1"/>
    <col min="1444" max="1444" width="16.21875" bestFit="1" customWidth="1"/>
    <col min="1445" max="1449" width="12.6640625" bestFit="1" customWidth="1"/>
    <col min="1450" max="1450" width="16.21875" bestFit="1" customWidth="1"/>
    <col min="1451" max="1453" width="12.6640625" bestFit="1" customWidth="1"/>
    <col min="1454" max="1454" width="16.21875" bestFit="1" customWidth="1"/>
    <col min="1455" max="1461" width="12.6640625" bestFit="1" customWidth="1"/>
    <col min="1462" max="1462" width="16.21875" bestFit="1" customWidth="1"/>
    <col min="1463" max="1467" width="12.6640625" bestFit="1" customWidth="1"/>
    <col min="1468" max="1468" width="16.21875" bestFit="1" customWidth="1"/>
    <col min="1469" max="1473" width="12.6640625" bestFit="1" customWidth="1"/>
    <col min="1474" max="1474" width="16.21875" bestFit="1" customWidth="1"/>
    <col min="1475" max="1479" width="12.6640625" bestFit="1" customWidth="1"/>
    <col min="1480" max="1480" width="16.21875" bestFit="1" customWidth="1"/>
    <col min="1481" max="1485" width="12.6640625" bestFit="1" customWidth="1"/>
    <col min="1486" max="1486" width="16.21875" bestFit="1" customWidth="1"/>
    <col min="1487" max="1489" width="12.6640625" bestFit="1" customWidth="1"/>
    <col min="1490" max="1490" width="16.21875" bestFit="1" customWidth="1"/>
    <col min="1491" max="1495" width="12.6640625" bestFit="1" customWidth="1"/>
    <col min="1496" max="1496" width="16.21875" bestFit="1" customWidth="1"/>
    <col min="1497" max="1499" width="12.6640625" bestFit="1" customWidth="1"/>
    <col min="1500" max="1500" width="16.21875" bestFit="1" customWidth="1"/>
    <col min="1501" max="1503" width="12.6640625" bestFit="1" customWidth="1"/>
    <col min="1504" max="1504" width="16.21875" bestFit="1" customWidth="1"/>
    <col min="1505" max="1507" width="12.6640625" bestFit="1" customWidth="1"/>
    <col min="1508" max="1508" width="16.21875" bestFit="1" customWidth="1"/>
    <col min="1509" max="1511" width="12.6640625" bestFit="1" customWidth="1"/>
    <col min="1512" max="1512" width="16.21875" bestFit="1" customWidth="1"/>
    <col min="1513" max="1515" width="12.6640625" bestFit="1" customWidth="1"/>
    <col min="1516" max="1516" width="16.21875" bestFit="1" customWidth="1"/>
    <col min="1517" max="1519" width="12.6640625" bestFit="1" customWidth="1"/>
    <col min="1520" max="1520" width="16.21875" bestFit="1" customWidth="1"/>
    <col min="1521" max="1523" width="12.6640625" bestFit="1" customWidth="1"/>
    <col min="1524" max="1524" width="16.21875" bestFit="1" customWidth="1"/>
    <col min="1525" max="1527" width="12.6640625" bestFit="1" customWidth="1"/>
    <col min="1528" max="1528" width="16.21875" bestFit="1" customWidth="1"/>
    <col min="1529" max="1531" width="12.6640625" bestFit="1" customWidth="1"/>
    <col min="1532" max="1532" width="16.21875" bestFit="1" customWidth="1"/>
    <col min="1533" max="1537" width="12.6640625" bestFit="1" customWidth="1"/>
    <col min="1538" max="1538" width="16.21875" bestFit="1" customWidth="1"/>
    <col min="1539" max="1541" width="12.6640625" bestFit="1" customWidth="1"/>
    <col min="1542" max="1542" width="16.21875" bestFit="1" customWidth="1"/>
    <col min="1543" max="1545" width="12.6640625" bestFit="1" customWidth="1"/>
    <col min="1546" max="1546" width="16.21875" bestFit="1" customWidth="1"/>
    <col min="1547" max="1549" width="12.6640625" bestFit="1" customWidth="1"/>
    <col min="1550" max="1550" width="16.21875" bestFit="1" customWidth="1"/>
    <col min="1551" max="1555" width="12.6640625" bestFit="1" customWidth="1"/>
    <col min="1556" max="1556" width="16.21875" bestFit="1" customWidth="1"/>
    <col min="1557" max="1559" width="12.6640625" bestFit="1" customWidth="1"/>
    <col min="1560" max="1560" width="16.21875" bestFit="1" customWidth="1"/>
    <col min="1561" max="1565" width="12.6640625" bestFit="1" customWidth="1"/>
    <col min="1566" max="1566" width="16.21875" bestFit="1" customWidth="1"/>
    <col min="1567" max="1569" width="12.6640625" bestFit="1" customWidth="1"/>
    <col min="1570" max="1570" width="16.21875" bestFit="1" customWidth="1"/>
    <col min="1571" max="1573" width="12.6640625" bestFit="1" customWidth="1"/>
    <col min="1574" max="1574" width="16.21875" bestFit="1" customWidth="1"/>
    <col min="1575" max="1577" width="12.6640625" bestFit="1" customWidth="1"/>
    <col min="1578" max="1578" width="16.21875" bestFit="1" customWidth="1"/>
    <col min="1579" max="1581" width="12.6640625" bestFit="1" customWidth="1"/>
    <col min="1582" max="1582" width="16.21875" bestFit="1" customWidth="1"/>
    <col min="1583" max="1585" width="12.6640625" bestFit="1" customWidth="1"/>
    <col min="1586" max="1586" width="16.21875" bestFit="1" customWidth="1"/>
    <col min="1587" max="1589" width="12.6640625" bestFit="1" customWidth="1"/>
    <col min="1590" max="1590" width="16.21875" bestFit="1" customWidth="1"/>
    <col min="1591" max="1593" width="12.6640625" bestFit="1" customWidth="1"/>
    <col min="1594" max="1594" width="16.21875" bestFit="1" customWidth="1"/>
    <col min="1595" max="1599" width="12.6640625" bestFit="1" customWidth="1"/>
    <col min="1600" max="1600" width="16.21875" bestFit="1" customWidth="1"/>
    <col min="1601" max="1603" width="12.6640625" bestFit="1" customWidth="1"/>
    <col min="1604" max="1604" width="16.21875" bestFit="1" customWidth="1"/>
    <col min="1605" max="1607" width="12.6640625" bestFit="1" customWidth="1"/>
    <col min="1608" max="1608" width="16.21875" bestFit="1" customWidth="1"/>
    <col min="1609" max="1611" width="12.6640625" bestFit="1" customWidth="1"/>
    <col min="1612" max="1612" width="16.21875" bestFit="1" customWidth="1"/>
    <col min="1613" max="1615" width="12.6640625" bestFit="1" customWidth="1"/>
    <col min="1616" max="1616" width="16.21875" bestFit="1" customWidth="1"/>
    <col min="1617" max="1619" width="12.6640625" bestFit="1" customWidth="1"/>
    <col min="1620" max="1620" width="16.21875" bestFit="1" customWidth="1"/>
    <col min="1621" max="1623" width="12.6640625" bestFit="1" customWidth="1"/>
    <col min="1624" max="1624" width="16.21875" bestFit="1" customWidth="1"/>
    <col min="1625" max="1627" width="12.6640625" bestFit="1" customWidth="1"/>
    <col min="1628" max="1628" width="16.21875" bestFit="1" customWidth="1"/>
    <col min="1629" max="1631" width="12.6640625" bestFit="1" customWidth="1"/>
    <col min="1632" max="1632" width="16.21875" bestFit="1" customWidth="1"/>
    <col min="1633" max="1635" width="12.6640625" bestFit="1" customWidth="1"/>
    <col min="1636" max="1636" width="16.21875" bestFit="1" customWidth="1"/>
    <col min="1637" max="1639" width="12.6640625" bestFit="1" customWidth="1"/>
    <col min="1640" max="1640" width="16.21875" bestFit="1" customWidth="1"/>
    <col min="1641" max="1643" width="12.6640625" bestFit="1" customWidth="1"/>
    <col min="1644" max="1644" width="16.21875" bestFit="1" customWidth="1"/>
    <col min="1645" max="1645" width="14" bestFit="1" customWidth="1"/>
    <col min="1646" max="1646" width="17.5546875" bestFit="1" customWidth="1"/>
    <col min="1647" max="1647" width="7.6640625" bestFit="1" customWidth="1"/>
    <col min="1648" max="1648" width="5" bestFit="1" customWidth="1"/>
    <col min="1649" max="1650" width="7.6640625" bestFit="1" customWidth="1"/>
    <col min="1651" max="1651" width="5" bestFit="1" customWidth="1"/>
    <col min="1652" max="1652" width="7.6640625" bestFit="1" customWidth="1"/>
    <col min="1653" max="1653" width="5" bestFit="1" customWidth="1"/>
    <col min="1654" max="1655" width="7.6640625" bestFit="1" customWidth="1"/>
    <col min="1656" max="1656" width="5" bestFit="1" customWidth="1"/>
    <col min="1657" max="1657" width="7.6640625" bestFit="1" customWidth="1"/>
    <col min="1658" max="1658" width="5" bestFit="1" customWidth="1"/>
    <col min="1659" max="1660" width="7.6640625" bestFit="1" customWidth="1"/>
    <col min="1661" max="1661" width="5" bestFit="1" customWidth="1"/>
    <col min="1662" max="1662" width="7.6640625" bestFit="1" customWidth="1"/>
    <col min="1663" max="1663" width="5" bestFit="1" customWidth="1"/>
    <col min="1664" max="1665" width="7.6640625" bestFit="1" customWidth="1"/>
    <col min="1666" max="1666" width="6" bestFit="1" customWidth="1"/>
    <col min="1667" max="1667" width="8.6640625" bestFit="1" customWidth="1"/>
    <col min="1668" max="1668" width="6" bestFit="1" customWidth="1"/>
    <col min="1669" max="1669" width="8.6640625" bestFit="1" customWidth="1"/>
    <col min="1670" max="1670" width="6" bestFit="1" customWidth="1"/>
    <col min="1671" max="1671" width="8.6640625" bestFit="1" customWidth="1"/>
    <col min="1672" max="1672" width="7.6640625" bestFit="1" customWidth="1"/>
    <col min="1673" max="1673" width="5" bestFit="1" customWidth="1"/>
    <col min="1674" max="1676" width="7.6640625" bestFit="1" customWidth="1"/>
    <col min="1677" max="1677" width="5" bestFit="1" customWidth="1"/>
    <col min="1678" max="1679" width="7.6640625" bestFit="1" customWidth="1"/>
    <col min="1680" max="1680" width="5" bestFit="1" customWidth="1"/>
    <col min="1681" max="1682" width="7.6640625" bestFit="1" customWidth="1"/>
    <col min="1683" max="1683" width="5" bestFit="1" customWidth="1"/>
    <col min="1684" max="1684" width="7.6640625" bestFit="1" customWidth="1"/>
    <col min="1685" max="1685" width="5" bestFit="1" customWidth="1"/>
    <col min="1686" max="1687" width="7.6640625" bestFit="1" customWidth="1"/>
    <col min="1688" max="1688" width="5" bestFit="1" customWidth="1"/>
    <col min="1689" max="1689" width="7.6640625" bestFit="1" customWidth="1"/>
    <col min="1690" max="1690" width="5" bestFit="1" customWidth="1"/>
    <col min="1691" max="1692" width="7.6640625" bestFit="1" customWidth="1"/>
    <col min="1693" max="1693" width="5" bestFit="1" customWidth="1"/>
    <col min="1694" max="1694" width="7.6640625" bestFit="1" customWidth="1"/>
    <col min="1695" max="1695" width="5" bestFit="1" customWidth="1"/>
    <col min="1696" max="1696" width="7.6640625" bestFit="1" customWidth="1"/>
    <col min="1697" max="1697" width="5" bestFit="1" customWidth="1"/>
    <col min="1698" max="1698" width="7.6640625" bestFit="1" customWidth="1"/>
    <col min="1699" max="1699" width="5" bestFit="1" customWidth="1"/>
    <col min="1700" max="1701" width="7.6640625" bestFit="1" customWidth="1"/>
    <col min="1702" max="1702" width="5" bestFit="1" customWidth="1"/>
    <col min="1703" max="1704" width="7.6640625" bestFit="1" customWidth="1"/>
    <col min="1705" max="1705" width="5" bestFit="1" customWidth="1"/>
    <col min="1706" max="1707" width="7.6640625" bestFit="1" customWidth="1"/>
    <col min="1708" max="1708" width="6" bestFit="1" customWidth="1"/>
    <col min="1709" max="1709" width="8.6640625" bestFit="1" customWidth="1"/>
    <col min="1710" max="1710" width="7.6640625" bestFit="1" customWidth="1"/>
    <col min="1711" max="1711" width="5" bestFit="1" customWidth="1"/>
    <col min="1712" max="1713" width="7.6640625" bestFit="1" customWidth="1"/>
    <col min="1714" max="1714" width="5" bestFit="1" customWidth="1"/>
    <col min="1715" max="1716" width="7.6640625" bestFit="1" customWidth="1"/>
    <col min="1717" max="1717" width="5" bestFit="1" customWidth="1"/>
    <col min="1718" max="1719" width="7.6640625" bestFit="1" customWidth="1"/>
    <col min="1720" max="1720" width="5" bestFit="1" customWidth="1"/>
    <col min="1721" max="1722" width="7.6640625" bestFit="1" customWidth="1"/>
    <col min="1723" max="1723" width="5" bestFit="1" customWidth="1"/>
    <col min="1724" max="1726" width="7.6640625" bestFit="1" customWidth="1"/>
    <col min="1727" max="1727" width="5" bestFit="1" customWidth="1"/>
    <col min="1728" max="1728" width="7.6640625" bestFit="1" customWidth="1"/>
    <col min="1729" max="1729" width="6.6640625" bestFit="1" customWidth="1"/>
    <col min="1730" max="1730" width="5" bestFit="1" customWidth="1"/>
    <col min="1731" max="1732" width="7.6640625" bestFit="1" customWidth="1"/>
    <col min="1733" max="1733" width="5" bestFit="1" customWidth="1"/>
    <col min="1734" max="1734" width="7.6640625" bestFit="1" customWidth="1"/>
    <col min="1735" max="1735" width="5" bestFit="1" customWidth="1"/>
    <col min="1736" max="1737" width="7.6640625" bestFit="1" customWidth="1"/>
    <col min="1738" max="1738" width="5" bestFit="1" customWidth="1"/>
    <col min="1739" max="1740" width="7.6640625" bestFit="1" customWidth="1"/>
    <col min="1741" max="1741" width="5" bestFit="1" customWidth="1"/>
    <col min="1742" max="1742" width="7.6640625" bestFit="1" customWidth="1"/>
    <col min="1743" max="1743" width="5" bestFit="1" customWidth="1"/>
    <col min="1744" max="1744" width="7.6640625" bestFit="1" customWidth="1"/>
    <col min="1745" max="1745" width="5" bestFit="1" customWidth="1"/>
    <col min="1746" max="1746" width="7.6640625" bestFit="1" customWidth="1"/>
    <col min="1747" max="1747" width="5" bestFit="1" customWidth="1"/>
    <col min="1748" max="1749" width="7.6640625" bestFit="1" customWidth="1"/>
    <col min="1750" max="1750" width="5" bestFit="1" customWidth="1"/>
    <col min="1751" max="1751" width="7.6640625" bestFit="1" customWidth="1"/>
    <col min="1752" max="1752" width="5" bestFit="1" customWidth="1"/>
    <col min="1753" max="1754" width="7.6640625" bestFit="1" customWidth="1"/>
    <col min="1755" max="1755" width="5" bestFit="1" customWidth="1"/>
    <col min="1756" max="1757" width="7.6640625" bestFit="1" customWidth="1"/>
    <col min="1758" max="1758" width="5" bestFit="1" customWidth="1"/>
    <col min="1759" max="1761" width="7.6640625" bestFit="1" customWidth="1"/>
    <col min="1762" max="1762" width="5" bestFit="1" customWidth="1"/>
    <col min="1763" max="1764" width="7.6640625" bestFit="1" customWidth="1"/>
    <col min="1765" max="1765" width="5" bestFit="1" customWidth="1"/>
    <col min="1766" max="1767" width="7.6640625" bestFit="1" customWidth="1"/>
    <col min="1768" max="1768" width="5" bestFit="1" customWidth="1"/>
    <col min="1769" max="1769" width="7.6640625" bestFit="1" customWidth="1"/>
    <col min="1770" max="1770" width="5" bestFit="1" customWidth="1"/>
    <col min="1771" max="1772" width="7.6640625" bestFit="1" customWidth="1"/>
    <col min="1773" max="1773" width="5" bestFit="1" customWidth="1"/>
    <col min="1774" max="1775" width="7.6640625" bestFit="1" customWidth="1"/>
    <col min="1776" max="1776" width="5" bestFit="1" customWidth="1"/>
    <col min="1777" max="1778" width="7.6640625" bestFit="1" customWidth="1"/>
    <col min="1779" max="1779" width="5" bestFit="1" customWidth="1"/>
    <col min="1780" max="1781" width="7.6640625" bestFit="1" customWidth="1"/>
    <col min="1782" max="1782" width="6" bestFit="1" customWidth="1"/>
    <col min="1783" max="1783" width="8.6640625" bestFit="1" customWidth="1"/>
    <col min="1784" max="1785" width="7.6640625" bestFit="1" customWidth="1"/>
    <col min="1786" max="1786" width="5" bestFit="1" customWidth="1"/>
    <col min="1787" max="1787" width="7.6640625" bestFit="1" customWidth="1"/>
    <col min="1788" max="1788" width="5" bestFit="1" customWidth="1"/>
    <col min="1789" max="1790" width="7.6640625" bestFit="1" customWidth="1"/>
    <col min="1791" max="1791" width="6" bestFit="1" customWidth="1"/>
    <col min="1792" max="1792" width="8.6640625" bestFit="1" customWidth="1"/>
    <col min="1793" max="1793" width="6" bestFit="1" customWidth="1"/>
    <col min="1794" max="1794" width="8.6640625" bestFit="1" customWidth="1"/>
    <col min="1795" max="1795" width="7.6640625" bestFit="1" customWidth="1"/>
    <col min="1796" max="1796" width="5" bestFit="1" customWidth="1"/>
    <col min="1797" max="1797" width="7.6640625" bestFit="1" customWidth="1"/>
    <col min="1798" max="1798" width="6" bestFit="1" customWidth="1"/>
    <col min="1799" max="1799" width="8.6640625" bestFit="1" customWidth="1"/>
    <col min="1800" max="1800" width="7.6640625" bestFit="1" customWidth="1"/>
    <col min="1801" max="1801" width="5" bestFit="1" customWidth="1"/>
    <col min="1802" max="1802" width="7.6640625" bestFit="1" customWidth="1"/>
    <col min="1803" max="1803" width="5" bestFit="1" customWidth="1"/>
    <col min="1804" max="1806" width="7.6640625" bestFit="1" customWidth="1"/>
    <col min="1807" max="1807" width="5" bestFit="1" customWidth="1"/>
    <col min="1808" max="1809" width="7.6640625" bestFit="1" customWidth="1"/>
    <col min="1810" max="1810" width="5" bestFit="1" customWidth="1"/>
    <col min="1811" max="1812" width="7.6640625" bestFit="1" customWidth="1"/>
    <col min="1813" max="1813" width="5" bestFit="1" customWidth="1"/>
    <col min="1814" max="1815" width="7.6640625" bestFit="1" customWidth="1"/>
    <col min="1816" max="1816" width="5" bestFit="1" customWidth="1"/>
    <col min="1817" max="1818" width="7.6640625" bestFit="1" customWidth="1"/>
    <col min="1819" max="1819" width="5" bestFit="1" customWidth="1"/>
    <col min="1820" max="1821" width="7.6640625" bestFit="1" customWidth="1"/>
    <col min="1822" max="1822" width="5" bestFit="1" customWidth="1"/>
    <col min="1823" max="1824" width="7.6640625" bestFit="1" customWidth="1"/>
    <col min="1825" max="1825" width="5" bestFit="1" customWidth="1"/>
    <col min="1826" max="1827" width="7.6640625" bestFit="1" customWidth="1"/>
    <col min="1828" max="1828" width="5" bestFit="1" customWidth="1"/>
    <col min="1829" max="1831" width="7.6640625" bestFit="1" customWidth="1"/>
    <col min="1832" max="1832" width="5" bestFit="1" customWidth="1"/>
    <col min="1833" max="1834" width="7.6640625" bestFit="1" customWidth="1"/>
    <col min="1835" max="1835" width="5" bestFit="1" customWidth="1"/>
    <col min="1836" max="1837" width="7.6640625" bestFit="1" customWidth="1"/>
    <col min="1838" max="1838" width="5" bestFit="1" customWidth="1"/>
    <col min="1839" max="1840" width="7.6640625" bestFit="1" customWidth="1"/>
    <col min="1841" max="1841" width="6" bestFit="1" customWidth="1"/>
    <col min="1842" max="1842" width="8.6640625" bestFit="1" customWidth="1"/>
    <col min="1843" max="1844" width="7.6640625" bestFit="1" customWidth="1"/>
    <col min="1845" max="1845" width="5" bestFit="1" customWidth="1"/>
    <col min="1846" max="1846" width="7.6640625" bestFit="1" customWidth="1"/>
    <col min="1847" max="1847" width="5" bestFit="1" customWidth="1"/>
    <col min="1848" max="1849" width="7.6640625" bestFit="1" customWidth="1"/>
    <col min="1850" max="1850" width="5" bestFit="1" customWidth="1"/>
    <col min="1851" max="1852" width="7.6640625" bestFit="1" customWidth="1"/>
    <col min="1853" max="1853" width="5" bestFit="1" customWidth="1"/>
    <col min="1854" max="1856" width="7.6640625" bestFit="1" customWidth="1"/>
    <col min="1857" max="1857" width="5" bestFit="1" customWidth="1"/>
    <col min="1858" max="1859" width="7.6640625" bestFit="1" customWidth="1"/>
    <col min="1860" max="1860" width="5" bestFit="1" customWidth="1"/>
    <col min="1861" max="1862" width="7.6640625" bestFit="1" customWidth="1"/>
    <col min="1863" max="1863" width="6" bestFit="1" customWidth="1"/>
    <col min="1864" max="1864" width="8.6640625" bestFit="1" customWidth="1"/>
    <col min="1865" max="1865" width="7.6640625" bestFit="1" customWidth="1"/>
    <col min="1866" max="1866" width="6" bestFit="1" customWidth="1"/>
    <col min="1867" max="1867" width="8.6640625" bestFit="1" customWidth="1"/>
    <col min="1868" max="1869" width="7.6640625" bestFit="1" customWidth="1"/>
    <col min="1870" max="1870" width="5" bestFit="1" customWidth="1"/>
    <col min="1871" max="1872" width="7.6640625" bestFit="1" customWidth="1"/>
    <col min="1873" max="1873" width="5" bestFit="1" customWidth="1"/>
    <col min="1874" max="1875" width="7.6640625" bestFit="1" customWidth="1"/>
    <col min="1876" max="1876" width="5" bestFit="1" customWidth="1"/>
    <col min="1877" max="1878" width="7.6640625" bestFit="1" customWidth="1"/>
    <col min="1879" max="1879" width="5" bestFit="1" customWidth="1"/>
    <col min="1880" max="1880" width="7.6640625" bestFit="1" customWidth="1"/>
    <col min="1881" max="1881" width="6" bestFit="1" customWidth="1"/>
    <col min="1882" max="1882" width="8.6640625" bestFit="1" customWidth="1"/>
    <col min="1883" max="1884" width="7.6640625" bestFit="1" customWidth="1"/>
    <col min="1885" max="1885" width="6" bestFit="1" customWidth="1"/>
    <col min="1886" max="1886" width="8.6640625" bestFit="1" customWidth="1"/>
    <col min="1887" max="1887" width="6.6640625" bestFit="1" customWidth="1"/>
    <col min="1888" max="1888" width="5" bestFit="1" customWidth="1"/>
    <col min="1889" max="1891" width="7.6640625" bestFit="1" customWidth="1"/>
    <col min="1892" max="1892" width="5" bestFit="1" customWidth="1"/>
    <col min="1893" max="1894" width="7.6640625" bestFit="1" customWidth="1"/>
    <col min="1895" max="1895" width="5" bestFit="1" customWidth="1"/>
    <col min="1896" max="1896" width="7.6640625" bestFit="1" customWidth="1"/>
    <col min="1897" max="1897" width="5" bestFit="1" customWidth="1"/>
    <col min="1898" max="1898" width="7.6640625" bestFit="1" customWidth="1"/>
    <col min="1899" max="1899" width="5" bestFit="1" customWidth="1"/>
    <col min="1900" max="1901" width="7.6640625" bestFit="1" customWidth="1"/>
    <col min="1902" max="1902" width="5" bestFit="1" customWidth="1"/>
    <col min="1903" max="1903" width="7.6640625" bestFit="1" customWidth="1"/>
    <col min="1904" max="1904" width="5" bestFit="1" customWidth="1"/>
    <col min="1905" max="1905" width="7.6640625" bestFit="1" customWidth="1"/>
    <col min="1906" max="1906" width="6" bestFit="1" customWidth="1"/>
    <col min="1907" max="1907" width="8.6640625" bestFit="1" customWidth="1"/>
    <col min="1908" max="1909" width="7.6640625" bestFit="1" customWidth="1"/>
    <col min="1910" max="1910" width="5" bestFit="1" customWidth="1"/>
    <col min="1911" max="1912" width="7.6640625" bestFit="1" customWidth="1"/>
    <col min="1913" max="1913" width="5" bestFit="1" customWidth="1"/>
    <col min="1914" max="1915" width="7.6640625" bestFit="1" customWidth="1"/>
    <col min="1916" max="1916" width="5" bestFit="1" customWidth="1"/>
    <col min="1917" max="1918" width="7.6640625" bestFit="1" customWidth="1"/>
    <col min="1919" max="1919" width="5" bestFit="1" customWidth="1"/>
    <col min="1920" max="1922" width="7.6640625" bestFit="1" customWidth="1"/>
    <col min="1923" max="1923" width="5" bestFit="1" customWidth="1"/>
    <col min="1924" max="1925" width="7.6640625" bestFit="1" customWidth="1"/>
    <col min="1926" max="1926" width="5" bestFit="1" customWidth="1"/>
    <col min="1927" max="1928" width="7.6640625" bestFit="1" customWidth="1"/>
    <col min="1929" max="1929" width="5" bestFit="1" customWidth="1"/>
    <col min="1930" max="1932" width="7.6640625" bestFit="1" customWidth="1"/>
    <col min="1933" max="1933" width="5" bestFit="1" customWidth="1"/>
    <col min="1934" max="1935" width="7.6640625" bestFit="1" customWidth="1"/>
    <col min="1936" max="1936" width="5" bestFit="1" customWidth="1"/>
    <col min="1937" max="1937" width="7.6640625" bestFit="1" customWidth="1"/>
    <col min="1938" max="1938" width="6" bestFit="1" customWidth="1"/>
    <col min="1939" max="1939" width="8.6640625" bestFit="1" customWidth="1"/>
    <col min="1940" max="1941" width="7.6640625" bestFit="1" customWidth="1"/>
    <col min="1942" max="1942" width="5" bestFit="1" customWidth="1"/>
    <col min="1943" max="1943" width="7.6640625" bestFit="1" customWidth="1"/>
    <col min="1944" max="1944" width="5" bestFit="1" customWidth="1"/>
    <col min="1945" max="1946" width="7.6640625" bestFit="1" customWidth="1"/>
    <col min="1947" max="1947" width="5" bestFit="1" customWidth="1"/>
    <col min="1948" max="1950" width="7.6640625" bestFit="1" customWidth="1"/>
    <col min="1951" max="1951" width="5" bestFit="1" customWidth="1"/>
    <col min="1952" max="1954" width="7.6640625" bestFit="1" customWidth="1"/>
    <col min="1955" max="1955" width="5" bestFit="1" customWidth="1"/>
    <col min="1956" max="1957" width="7.6640625" bestFit="1" customWidth="1"/>
    <col min="1958" max="1958" width="6" bestFit="1" customWidth="1"/>
    <col min="1959" max="1959" width="8.6640625" bestFit="1" customWidth="1"/>
    <col min="1960" max="1961" width="7.6640625" bestFit="1" customWidth="1"/>
    <col min="1962" max="1962" width="5" bestFit="1" customWidth="1"/>
    <col min="1963" max="1963" width="7.6640625" bestFit="1" customWidth="1"/>
    <col min="1964" max="1964" width="5" bestFit="1" customWidth="1"/>
    <col min="1965" max="1966" width="7.6640625" bestFit="1" customWidth="1"/>
    <col min="1967" max="1967" width="5" bestFit="1" customWidth="1"/>
    <col min="1968" max="1970" width="7.6640625" bestFit="1" customWidth="1"/>
    <col min="1971" max="1971" width="5" bestFit="1" customWidth="1"/>
    <col min="1972" max="1973" width="7.6640625" bestFit="1" customWidth="1"/>
    <col min="1974" max="1974" width="5" bestFit="1" customWidth="1"/>
    <col min="1975" max="1976" width="7.6640625" bestFit="1" customWidth="1"/>
    <col min="1977" max="1977" width="5" bestFit="1" customWidth="1"/>
    <col min="1978" max="1980" width="7.6640625" bestFit="1" customWidth="1"/>
    <col min="1981" max="1981" width="6" bestFit="1" customWidth="1"/>
    <col min="1982" max="1982" width="8.6640625" bestFit="1" customWidth="1"/>
    <col min="1983" max="1984" width="7.6640625" bestFit="1" customWidth="1"/>
    <col min="1985" max="1985" width="5" bestFit="1" customWidth="1"/>
    <col min="1986" max="1988" width="7.6640625" bestFit="1" customWidth="1"/>
    <col min="1989" max="1989" width="5" bestFit="1" customWidth="1"/>
    <col min="1990" max="1991" width="7.6640625" bestFit="1" customWidth="1"/>
    <col min="1992" max="1992" width="5" bestFit="1" customWidth="1"/>
    <col min="1993" max="1995" width="7.6640625" bestFit="1" customWidth="1"/>
    <col min="1996" max="1996" width="5" bestFit="1" customWidth="1"/>
    <col min="1997" max="1997" width="7.6640625" bestFit="1" customWidth="1"/>
    <col min="1998" max="1998" width="6" bestFit="1" customWidth="1"/>
    <col min="1999" max="1999" width="8.6640625" bestFit="1" customWidth="1"/>
    <col min="2000" max="2001" width="7.6640625" bestFit="1" customWidth="1"/>
    <col min="2002" max="2002" width="5" bestFit="1" customWidth="1"/>
    <col min="2003" max="2005" width="7.6640625" bestFit="1" customWidth="1"/>
    <col min="2006" max="2006" width="6" bestFit="1" customWidth="1"/>
    <col min="2007" max="2007" width="8.6640625" bestFit="1" customWidth="1"/>
    <col min="2008" max="2008" width="6" bestFit="1" customWidth="1"/>
    <col min="2009" max="2009" width="8.6640625" bestFit="1" customWidth="1"/>
    <col min="2010" max="2011" width="7.6640625" bestFit="1" customWidth="1"/>
    <col min="2012" max="2012" width="5" bestFit="1" customWidth="1"/>
    <col min="2013" max="2013" width="7.6640625" bestFit="1" customWidth="1"/>
    <col min="2014" max="2014" width="6" bestFit="1" customWidth="1"/>
    <col min="2015" max="2015" width="8.6640625" bestFit="1" customWidth="1"/>
    <col min="2016" max="2016" width="7.6640625" bestFit="1" customWidth="1"/>
    <col min="2017" max="2017" width="6" bestFit="1" customWidth="1"/>
    <col min="2018" max="2018" width="8.6640625" bestFit="1" customWidth="1"/>
    <col min="2019" max="2019" width="7.6640625" bestFit="1" customWidth="1"/>
    <col min="2020" max="2020" width="6" bestFit="1" customWidth="1"/>
    <col min="2021" max="2021" width="8.6640625" bestFit="1" customWidth="1"/>
    <col min="2022" max="2023" width="7.6640625" bestFit="1" customWidth="1"/>
    <col min="2024" max="2024" width="6" bestFit="1" customWidth="1"/>
    <col min="2025" max="2025" width="8.6640625" bestFit="1" customWidth="1"/>
    <col min="2026" max="2027" width="7.6640625" bestFit="1" customWidth="1"/>
    <col min="2028" max="2028" width="6" bestFit="1" customWidth="1"/>
    <col min="2029" max="2029" width="8.6640625" bestFit="1" customWidth="1"/>
    <col min="2030" max="2031" width="7.6640625" bestFit="1" customWidth="1"/>
    <col min="2032" max="2032" width="6" bestFit="1" customWidth="1"/>
    <col min="2033" max="2033" width="8.6640625" bestFit="1" customWidth="1"/>
    <col min="2034" max="2035" width="7.6640625" bestFit="1" customWidth="1"/>
    <col min="2036" max="2036" width="5" bestFit="1" customWidth="1"/>
    <col min="2037" max="2039" width="7.6640625" bestFit="1" customWidth="1"/>
    <col min="2040" max="2040" width="5" bestFit="1" customWidth="1"/>
    <col min="2041" max="2043" width="7.6640625" bestFit="1" customWidth="1"/>
    <col min="2044" max="2044" width="10.77734375" bestFit="1" customWidth="1"/>
  </cols>
  <sheetData>
    <row r="1" spans="4:12" ht="7.2" customHeight="1" x14ac:dyDescent="0.3"/>
    <row r="2" spans="4:12" x14ac:dyDescent="0.3">
      <c r="E2" s="53" t="s">
        <v>787</v>
      </c>
      <c r="F2" s="53"/>
      <c r="G2" s="53"/>
      <c r="H2" s="53"/>
      <c r="I2" s="53"/>
      <c r="J2" s="53"/>
    </row>
    <row r="4" spans="4:12" x14ac:dyDescent="0.3">
      <c r="D4" s="56" t="s">
        <v>791</v>
      </c>
      <c r="E4" s="56"/>
      <c r="H4" s="54" t="s">
        <v>790</v>
      </c>
      <c r="I4" s="55"/>
    </row>
    <row r="5" spans="4:12" x14ac:dyDescent="0.3">
      <c r="K5" s="56" t="s">
        <v>796</v>
      </c>
      <c r="L5" s="56"/>
    </row>
    <row r="21" spans="2:12" x14ac:dyDescent="0.3">
      <c r="B21" s="61" t="s">
        <v>792</v>
      </c>
      <c r="C21" s="61"/>
      <c r="D21" s="62"/>
    </row>
    <row r="22" spans="2:12" x14ac:dyDescent="0.3">
      <c r="G22" s="57" t="s">
        <v>824</v>
      </c>
      <c r="H22" s="57"/>
    </row>
    <row r="23" spans="2:12" x14ac:dyDescent="0.3">
      <c r="K23" s="58" t="s">
        <v>818</v>
      </c>
      <c r="L23" s="60"/>
    </row>
    <row r="37" spans="2:12" x14ac:dyDescent="0.3">
      <c r="B37" s="58"/>
      <c r="C37" s="59"/>
      <c r="D37" s="60"/>
    </row>
    <row r="38" spans="2:12" x14ac:dyDescent="0.3">
      <c r="G38" s="58" t="s">
        <v>816</v>
      </c>
      <c r="H38" s="60"/>
    </row>
    <row r="40" spans="2:12" x14ac:dyDescent="0.3">
      <c r="K40" s="58" t="s">
        <v>817</v>
      </c>
      <c r="L40" s="60"/>
    </row>
    <row r="52" spans="2:3" x14ac:dyDescent="0.3">
      <c r="B52" s="51" t="s">
        <v>819</v>
      </c>
      <c r="C52" s="52"/>
    </row>
  </sheetData>
  <mergeCells count="11">
    <mergeCell ref="B52:C52"/>
    <mergeCell ref="E2:J2"/>
    <mergeCell ref="H4:I4"/>
    <mergeCell ref="D4:E4"/>
    <mergeCell ref="K5:L5"/>
    <mergeCell ref="G22:H22"/>
    <mergeCell ref="B37:D37"/>
    <mergeCell ref="G38:H38"/>
    <mergeCell ref="K40:L40"/>
    <mergeCell ref="B21:D21"/>
    <mergeCell ref="K23:L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8E60-ADED-49F0-AD2B-3FC7CD5428DF}">
  <dimension ref="A3:P49"/>
  <sheetViews>
    <sheetView tabSelected="1" topLeftCell="D10" workbookViewId="0">
      <selection activeCell="P19" sqref="P19"/>
    </sheetView>
  </sheetViews>
  <sheetFormatPr defaultRowHeight="12" x14ac:dyDescent="0.25"/>
  <cols>
    <col min="1" max="1" width="12.6640625" style="39" bestFit="1" customWidth="1"/>
    <col min="2" max="2" width="17.6640625" style="39" bestFit="1" customWidth="1"/>
    <col min="3" max="3" width="15.21875" style="39" bestFit="1" customWidth="1"/>
    <col min="4" max="4" width="8.88671875" style="39"/>
    <col min="5" max="5" width="12.6640625" style="39" bestFit="1" customWidth="1"/>
    <col min="6" max="6" width="12.77734375" style="39" bestFit="1" customWidth="1"/>
    <col min="7" max="7" width="10.21875" style="39" bestFit="1" customWidth="1"/>
    <col min="8" max="8" width="16" style="39" bestFit="1" customWidth="1"/>
    <col min="9" max="9" width="8.88671875" style="39"/>
    <col min="10" max="10" width="16.44140625" style="39" bestFit="1" customWidth="1"/>
    <col min="11" max="11" width="15.6640625" style="39" bestFit="1" customWidth="1"/>
    <col min="12" max="12" width="6" style="39" bestFit="1" customWidth="1"/>
    <col min="13" max="13" width="10.88671875" style="39" bestFit="1" customWidth="1"/>
    <col min="14" max="14" width="8.88671875" style="39"/>
    <col min="15" max="15" width="13.44140625" style="39" customWidth="1"/>
    <col min="16" max="16" width="8" style="39" bestFit="1" customWidth="1"/>
    <col min="17" max="16384" width="8.88671875" style="39"/>
  </cols>
  <sheetData>
    <row r="3" spans="1:16" x14ac:dyDescent="0.25">
      <c r="A3" s="38" t="s">
        <v>785</v>
      </c>
      <c r="B3" s="39" t="s">
        <v>788</v>
      </c>
      <c r="C3" s="39" t="s">
        <v>789</v>
      </c>
      <c r="E3" s="38" t="s">
        <v>785</v>
      </c>
      <c r="F3" s="39" t="s">
        <v>786</v>
      </c>
      <c r="G3" s="39" t="s">
        <v>781</v>
      </c>
      <c r="H3" s="39" t="s">
        <v>782</v>
      </c>
      <c r="J3" s="38" t="s">
        <v>785</v>
      </c>
      <c r="K3" s="39" t="s">
        <v>782</v>
      </c>
      <c r="L3" s="39" t="s">
        <v>781</v>
      </c>
      <c r="M3" s="39" t="s">
        <v>786</v>
      </c>
      <c r="O3" s="38" t="s">
        <v>785</v>
      </c>
      <c r="P3" s="39" t="s">
        <v>781</v>
      </c>
    </row>
    <row r="4" spans="1:16" x14ac:dyDescent="0.25">
      <c r="A4" s="40">
        <v>0</v>
      </c>
      <c r="B4" s="39">
        <v>28</v>
      </c>
      <c r="C4" s="39">
        <v>127</v>
      </c>
      <c r="E4" s="40">
        <v>0</v>
      </c>
      <c r="F4" s="39">
        <v>74</v>
      </c>
      <c r="G4" s="39">
        <v>703</v>
      </c>
      <c r="H4" s="39">
        <v>629</v>
      </c>
      <c r="J4" s="40">
        <v>0</v>
      </c>
      <c r="K4" s="39">
        <v>14050</v>
      </c>
      <c r="L4" s="39">
        <v>16869</v>
      </c>
      <c r="M4" s="39">
        <v>2819</v>
      </c>
      <c r="O4" s="40" t="s">
        <v>797</v>
      </c>
      <c r="P4" s="39">
        <v>801</v>
      </c>
    </row>
    <row r="5" spans="1:16" x14ac:dyDescent="0.25">
      <c r="A5" s="40">
        <v>1</v>
      </c>
      <c r="B5" s="39">
        <v>28</v>
      </c>
      <c r="C5" s="39">
        <v>127</v>
      </c>
      <c r="E5" s="40">
        <v>1</v>
      </c>
      <c r="F5" s="39">
        <v>48</v>
      </c>
      <c r="G5" s="39">
        <v>460</v>
      </c>
      <c r="H5" s="39">
        <v>412</v>
      </c>
      <c r="J5" s="40">
        <v>1</v>
      </c>
      <c r="K5" s="39">
        <v>39333</v>
      </c>
      <c r="L5" s="39">
        <v>41435</v>
      </c>
      <c r="M5" s="39">
        <v>2102</v>
      </c>
      <c r="O5" s="40" t="s">
        <v>798</v>
      </c>
      <c r="P5" s="39">
        <v>1562</v>
      </c>
    </row>
    <row r="6" spans="1:16" x14ac:dyDescent="0.25">
      <c r="A6" s="40">
        <v>2</v>
      </c>
      <c r="B6" s="39">
        <v>26</v>
      </c>
      <c r="C6" s="39">
        <v>125</v>
      </c>
      <c r="E6" s="40">
        <v>2</v>
      </c>
      <c r="F6" s="39">
        <v>33</v>
      </c>
      <c r="G6" s="39">
        <v>294</v>
      </c>
      <c r="H6" s="39">
        <v>261</v>
      </c>
      <c r="J6" s="40" t="s">
        <v>784</v>
      </c>
      <c r="K6" s="39">
        <v>53383</v>
      </c>
      <c r="L6" s="39">
        <v>58304</v>
      </c>
      <c r="M6" s="39">
        <v>4921</v>
      </c>
      <c r="O6" s="40" t="s">
        <v>784</v>
      </c>
      <c r="P6" s="39">
        <v>2363</v>
      </c>
    </row>
    <row r="7" spans="1:16" ht="14.4" x14ac:dyDescent="0.3">
      <c r="A7" s="40">
        <v>3</v>
      </c>
      <c r="B7" s="39">
        <v>16</v>
      </c>
      <c r="C7" s="39">
        <v>90</v>
      </c>
      <c r="E7" s="40">
        <v>3</v>
      </c>
      <c r="F7" s="39">
        <v>34</v>
      </c>
      <c r="G7" s="39">
        <v>151</v>
      </c>
      <c r="H7" s="39">
        <v>117</v>
      </c>
      <c r="O7"/>
      <c r="P7"/>
    </row>
    <row r="8" spans="1:16" ht="14.4" x14ac:dyDescent="0.3">
      <c r="A8" s="40">
        <v>4</v>
      </c>
      <c r="B8" s="39">
        <v>18</v>
      </c>
      <c r="C8" s="39">
        <v>90</v>
      </c>
      <c r="E8" s="40">
        <v>4</v>
      </c>
      <c r="F8" s="39">
        <v>7</v>
      </c>
      <c r="G8" s="39">
        <v>69</v>
      </c>
      <c r="H8" s="39">
        <v>62</v>
      </c>
      <c r="O8"/>
      <c r="P8"/>
    </row>
    <row r="9" spans="1:16" ht="14.4" x14ac:dyDescent="0.3">
      <c r="A9" s="40">
        <v>5</v>
      </c>
      <c r="B9" s="39">
        <v>28</v>
      </c>
      <c r="C9" s="39">
        <v>115</v>
      </c>
      <c r="E9" s="40">
        <v>5</v>
      </c>
      <c r="F9" s="39">
        <v>3</v>
      </c>
      <c r="G9" s="39">
        <v>164</v>
      </c>
      <c r="H9" s="39">
        <v>161</v>
      </c>
      <c r="O9"/>
      <c r="P9"/>
    </row>
    <row r="10" spans="1:16" ht="14.4" x14ac:dyDescent="0.3">
      <c r="A10" s="40">
        <v>6</v>
      </c>
      <c r="B10" s="39">
        <v>28</v>
      </c>
      <c r="C10" s="39">
        <v>127</v>
      </c>
      <c r="E10" s="40">
        <v>6</v>
      </c>
      <c r="F10" s="39">
        <v>21</v>
      </c>
      <c r="G10" s="39">
        <v>822</v>
      </c>
      <c r="H10" s="39">
        <v>801</v>
      </c>
      <c r="J10" s="38" t="s">
        <v>793</v>
      </c>
      <c r="K10" s="38" t="s">
        <v>783</v>
      </c>
      <c r="O10"/>
      <c r="P10"/>
    </row>
    <row r="11" spans="1:16" ht="14.4" x14ac:dyDescent="0.3">
      <c r="A11" s="40">
        <v>7</v>
      </c>
      <c r="B11" s="39">
        <v>28</v>
      </c>
      <c r="C11" s="39">
        <v>127</v>
      </c>
      <c r="E11" s="40">
        <v>7</v>
      </c>
      <c r="F11" s="39">
        <v>64</v>
      </c>
      <c r="G11" s="39">
        <v>2339</v>
      </c>
      <c r="H11" s="39">
        <v>2275</v>
      </c>
      <c r="J11" s="38" t="s">
        <v>785</v>
      </c>
      <c r="K11" s="39">
        <v>0</v>
      </c>
      <c r="L11" s="39">
        <v>1</v>
      </c>
      <c r="M11" s="39" t="s">
        <v>784</v>
      </c>
      <c r="O11"/>
      <c r="P11"/>
    </row>
    <row r="12" spans="1:16" ht="14.4" x14ac:dyDescent="0.3">
      <c r="A12" s="40">
        <v>8</v>
      </c>
      <c r="B12" s="39">
        <v>27</v>
      </c>
      <c r="C12" s="39">
        <v>126</v>
      </c>
      <c r="E12" s="40">
        <v>8</v>
      </c>
      <c r="F12" s="39">
        <v>127</v>
      </c>
      <c r="G12" s="39">
        <v>5388</v>
      </c>
      <c r="H12" s="39">
        <v>5261</v>
      </c>
      <c r="J12" s="40" t="s">
        <v>794</v>
      </c>
      <c r="K12" s="39">
        <v>379</v>
      </c>
      <c r="L12" s="39">
        <v>634</v>
      </c>
      <c r="M12" s="39">
        <v>1013</v>
      </c>
      <c r="O12"/>
      <c r="P12"/>
    </row>
    <row r="13" spans="1:16" ht="14.4" x14ac:dyDescent="0.3">
      <c r="A13" s="40">
        <v>9</v>
      </c>
      <c r="B13" s="39">
        <v>27</v>
      </c>
      <c r="C13" s="39">
        <v>126</v>
      </c>
      <c r="E13" s="40">
        <v>9</v>
      </c>
      <c r="F13" s="39">
        <v>172</v>
      </c>
      <c r="G13" s="39">
        <v>3672</v>
      </c>
      <c r="H13" s="39">
        <v>3500</v>
      </c>
      <c r="J13" s="40" t="s">
        <v>795</v>
      </c>
      <c r="K13" s="39">
        <v>138</v>
      </c>
      <c r="L13" s="39">
        <v>328</v>
      </c>
      <c r="M13" s="39">
        <v>466</v>
      </c>
      <c r="O13"/>
      <c r="P13"/>
    </row>
    <row r="14" spans="1:16" ht="14.4" x14ac:dyDescent="0.3">
      <c r="A14" s="40">
        <v>10</v>
      </c>
      <c r="B14" s="39">
        <v>27</v>
      </c>
      <c r="C14" s="39">
        <v>126</v>
      </c>
      <c r="E14" s="40">
        <v>10</v>
      </c>
      <c r="F14" s="39">
        <v>216</v>
      </c>
      <c r="G14" s="39">
        <v>2253</v>
      </c>
      <c r="H14" s="39">
        <v>2037</v>
      </c>
      <c r="J14" s="40" t="s">
        <v>784</v>
      </c>
      <c r="K14" s="39">
        <v>517</v>
      </c>
      <c r="L14" s="39">
        <v>962</v>
      </c>
      <c r="M14" s="39">
        <v>1479</v>
      </c>
      <c r="O14"/>
      <c r="P14"/>
    </row>
    <row r="15" spans="1:16" ht="14.4" x14ac:dyDescent="0.3">
      <c r="A15" s="40">
        <v>11</v>
      </c>
      <c r="B15" s="39">
        <v>27</v>
      </c>
      <c r="C15" s="39">
        <v>126</v>
      </c>
      <c r="E15" s="40">
        <v>11</v>
      </c>
      <c r="F15" s="39">
        <v>367</v>
      </c>
      <c r="G15" s="39">
        <v>2494</v>
      </c>
      <c r="H15" s="39">
        <v>2127</v>
      </c>
      <c r="O15"/>
      <c r="P15"/>
    </row>
    <row r="16" spans="1:16" ht="14.4" x14ac:dyDescent="0.3">
      <c r="A16" s="40">
        <v>12</v>
      </c>
      <c r="B16" s="39">
        <v>28</v>
      </c>
      <c r="C16" s="39">
        <v>128</v>
      </c>
      <c r="E16" s="40">
        <v>12</v>
      </c>
      <c r="F16" s="39">
        <v>482</v>
      </c>
      <c r="G16" s="39">
        <v>3283</v>
      </c>
      <c r="H16" s="39">
        <v>2801</v>
      </c>
      <c r="O16"/>
      <c r="P16"/>
    </row>
    <row r="17" spans="1:16" ht="14.4" x14ac:dyDescent="0.3">
      <c r="A17" s="40">
        <v>13</v>
      </c>
      <c r="B17" s="39">
        <v>28</v>
      </c>
      <c r="C17" s="39">
        <v>128</v>
      </c>
      <c r="E17" s="40">
        <v>13</v>
      </c>
      <c r="F17" s="39">
        <v>513</v>
      </c>
      <c r="G17" s="39">
        <v>3376</v>
      </c>
      <c r="H17" s="39">
        <v>2863</v>
      </c>
      <c r="J17" s="39" t="s">
        <v>779</v>
      </c>
      <c r="K17" s="39" t="s">
        <v>780</v>
      </c>
      <c r="L17" s="39" t="s">
        <v>782</v>
      </c>
      <c r="M17" s="39" t="s">
        <v>781</v>
      </c>
      <c r="O17"/>
      <c r="P17"/>
    </row>
    <row r="18" spans="1:16" ht="14.4" x14ac:dyDescent="0.3">
      <c r="A18" s="40">
        <v>14</v>
      </c>
      <c r="B18" s="39">
        <v>28</v>
      </c>
      <c r="C18" s="39">
        <v>128</v>
      </c>
      <c r="E18" s="40">
        <v>14</v>
      </c>
      <c r="F18" s="39">
        <v>466</v>
      </c>
      <c r="G18" s="39">
        <v>3200</v>
      </c>
      <c r="H18" s="39">
        <v>2734</v>
      </c>
      <c r="J18" s="39">
        <v>11753</v>
      </c>
      <c r="K18" s="39">
        <v>610</v>
      </c>
      <c r="L18" s="39">
        <v>53383</v>
      </c>
      <c r="M18" s="39">
        <v>58304</v>
      </c>
      <c r="O18"/>
      <c r="P18"/>
    </row>
    <row r="19" spans="1:16" ht="14.4" x14ac:dyDescent="0.3">
      <c r="A19" s="40">
        <v>15</v>
      </c>
      <c r="B19" s="39">
        <v>28</v>
      </c>
      <c r="C19" s="39">
        <v>128</v>
      </c>
      <c r="E19" s="40">
        <v>15</v>
      </c>
      <c r="F19" s="39">
        <v>536</v>
      </c>
      <c r="G19" s="39">
        <v>3352</v>
      </c>
      <c r="H19" s="39">
        <v>2816</v>
      </c>
      <c r="O19"/>
      <c r="P19"/>
    </row>
    <row r="20" spans="1:16" ht="14.4" x14ac:dyDescent="0.3">
      <c r="A20" s="40">
        <v>16</v>
      </c>
      <c r="B20" s="39">
        <v>29</v>
      </c>
      <c r="C20" s="39">
        <v>132</v>
      </c>
      <c r="E20" s="40">
        <v>16</v>
      </c>
      <c r="F20" s="39">
        <v>493</v>
      </c>
      <c r="G20" s="39">
        <v>3928</v>
      </c>
      <c r="H20" s="39">
        <v>3435</v>
      </c>
      <c r="J20" s="41" t="s">
        <v>801</v>
      </c>
      <c r="K20" s="41" t="s">
        <v>802</v>
      </c>
      <c r="M20"/>
      <c r="N20"/>
      <c r="O20"/>
      <c r="P20"/>
    </row>
    <row r="21" spans="1:16" ht="14.4" x14ac:dyDescent="0.3">
      <c r="A21" s="40">
        <v>17</v>
      </c>
      <c r="B21" s="39">
        <v>29</v>
      </c>
      <c r="C21" s="39">
        <v>132</v>
      </c>
      <c r="E21" s="40">
        <v>17</v>
      </c>
      <c r="F21" s="39">
        <v>395</v>
      </c>
      <c r="G21" s="39">
        <v>6169</v>
      </c>
      <c r="H21" s="39">
        <v>5774</v>
      </c>
      <c r="J21" s="42">
        <v>1</v>
      </c>
      <c r="K21" s="42" t="s">
        <v>803</v>
      </c>
      <c r="M21" s="43" t="s">
        <v>785</v>
      </c>
      <c r="N21" t="s">
        <v>825</v>
      </c>
      <c r="O21" t="s">
        <v>826</v>
      </c>
      <c r="P21"/>
    </row>
    <row r="22" spans="1:16" ht="14.4" x14ac:dyDescent="0.3">
      <c r="A22" s="40">
        <v>18</v>
      </c>
      <c r="B22" s="39">
        <v>28</v>
      </c>
      <c r="C22" s="39">
        <v>129</v>
      </c>
      <c r="E22" s="40">
        <v>18</v>
      </c>
      <c r="F22" s="39">
        <v>222</v>
      </c>
      <c r="G22" s="39">
        <v>5283</v>
      </c>
      <c r="H22" s="39">
        <v>5061</v>
      </c>
      <c r="J22" s="42">
        <v>2</v>
      </c>
      <c r="K22" s="42" t="s">
        <v>804</v>
      </c>
      <c r="M22" s="44">
        <v>249</v>
      </c>
      <c r="N22">
        <v>62</v>
      </c>
      <c r="O22">
        <v>247</v>
      </c>
      <c r="P22"/>
    </row>
    <row r="23" spans="1:16" ht="14.4" x14ac:dyDescent="0.3">
      <c r="A23" s="40">
        <v>19</v>
      </c>
      <c r="B23" s="39">
        <v>28</v>
      </c>
      <c r="C23" s="39">
        <v>129</v>
      </c>
      <c r="E23" s="40">
        <v>19</v>
      </c>
      <c r="F23" s="39">
        <v>187</v>
      </c>
      <c r="G23" s="39">
        <v>3661</v>
      </c>
      <c r="H23" s="39">
        <v>3474</v>
      </c>
      <c r="J23" s="42">
        <v>3</v>
      </c>
      <c r="K23" s="42" t="s">
        <v>805</v>
      </c>
      <c r="M23" s="44" t="s">
        <v>784</v>
      </c>
      <c r="N23">
        <v>62</v>
      </c>
      <c r="O23">
        <v>247</v>
      </c>
      <c r="P23"/>
    </row>
    <row r="24" spans="1:16" ht="14.4" x14ac:dyDescent="0.3">
      <c r="A24" s="40">
        <v>20</v>
      </c>
      <c r="B24" s="39">
        <v>28</v>
      </c>
      <c r="C24" s="39">
        <v>129</v>
      </c>
      <c r="E24" s="40">
        <v>20</v>
      </c>
      <c r="F24" s="39">
        <v>140</v>
      </c>
      <c r="G24" s="39">
        <v>2656</v>
      </c>
      <c r="H24" s="39">
        <v>2516</v>
      </c>
      <c r="J24" s="42">
        <v>4</v>
      </c>
      <c r="K24" s="42" t="s">
        <v>806</v>
      </c>
      <c r="O24"/>
      <c r="P24"/>
    </row>
    <row r="25" spans="1:16" ht="14.4" x14ac:dyDescent="0.3">
      <c r="A25" s="40">
        <v>21</v>
      </c>
      <c r="B25" s="39">
        <v>28</v>
      </c>
      <c r="C25" s="39">
        <v>129</v>
      </c>
      <c r="E25" s="40">
        <v>21</v>
      </c>
      <c r="F25" s="39">
        <v>117</v>
      </c>
      <c r="G25" s="39">
        <v>1996</v>
      </c>
      <c r="H25" s="39">
        <v>1879</v>
      </c>
      <c r="J25" s="42"/>
      <c r="K25" s="42"/>
      <c r="O25"/>
      <c r="P25"/>
    </row>
    <row r="26" spans="1:16" ht="15" thickBot="1" x14ac:dyDescent="0.35">
      <c r="A26" s="40">
        <v>22</v>
      </c>
      <c r="B26" s="39">
        <v>28</v>
      </c>
      <c r="C26" s="39">
        <v>129</v>
      </c>
      <c r="E26" s="40">
        <v>22</v>
      </c>
      <c r="F26" s="39">
        <v>103</v>
      </c>
      <c r="G26" s="39">
        <v>1508</v>
      </c>
      <c r="H26" s="39">
        <v>1405</v>
      </c>
      <c r="M26" s="43" t="s">
        <v>785</v>
      </c>
      <c r="N26" t="s">
        <v>831</v>
      </c>
      <c r="O26"/>
      <c r="P26"/>
    </row>
    <row r="27" spans="1:16" ht="25.8" customHeight="1" x14ac:dyDescent="0.3">
      <c r="A27" s="40">
        <v>23</v>
      </c>
      <c r="B27" s="39">
        <v>28</v>
      </c>
      <c r="C27" s="39">
        <v>129</v>
      </c>
      <c r="E27" s="40">
        <v>23</v>
      </c>
      <c r="F27" s="39">
        <v>101</v>
      </c>
      <c r="G27" s="39">
        <v>1083</v>
      </c>
      <c r="H27" s="39">
        <v>982</v>
      </c>
      <c r="J27" s="27" t="s">
        <v>814</v>
      </c>
      <c r="K27" s="28" t="s">
        <v>815</v>
      </c>
      <c r="L27" s="29" t="s">
        <v>823</v>
      </c>
      <c r="M27" s="44">
        <v>11</v>
      </c>
      <c r="N27">
        <v>1</v>
      </c>
      <c r="O27"/>
      <c r="P27"/>
    </row>
    <row r="28" spans="1:16" ht="14.4" x14ac:dyDescent="0.3">
      <c r="A28" s="40" t="s">
        <v>784</v>
      </c>
      <c r="B28" s="39">
        <v>646</v>
      </c>
      <c r="C28" s="39">
        <v>2982</v>
      </c>
      <c r="E28" s="40" t="s">
        <v>784</v>
      </c>
      <c r="F28" s="39">
        <v>4921</v>
      </c>
      <c r="G28" s="39">
        <v>58304</v>
      </c>
      <c r="H28" s="39">
        <v>53383</v>
      </c>
      <c r="J28" s="25">
        <v>58304</v>
      </c>
      <c r="K28" s="5">
        <v>4921</v>
      </c>
      <c r="L28" s="5">
        <v>53383</v>
      </c>
      <c r="M28" s="44">
        <v>29</v>
      </c>
      <c r="N28">
        <v>46</v>
      </c>
      <c r="O28"/>
      <c r="P28"/>
    </row>
    <row r="29" spans="1:16" ht="14.4" x14ac:dyDescent="0.3">
      <c r="J29" s="25"/>
      <c r="K29" s="5"/>
      <c r="L29" s="5"/>
      <c r="M29" s="44">
        <v>30</v>
      </c>
      <c r="N29">
        <v>190</v>
      </c>
      <c r="O29"/>
      <c r="P29"/>
    </row>
    <row r="30" spans="1:16" ht="14.4" x14ac:dyDescent="0.3">
      <c r="M30" s="44">
        <v>48</v>
      </c>
      <c r="N30">
        <v>362</v>
      </c>
      <c r="O30"/>
      <c r="P30"/>
    </row>
    <row r="31" spans="1:16" ht="14.4" x14ac:dyDescent="0.3">
      <c r="M31" s="44" t="s">
        <v>784</v>
      </c>
      <c r="N31">
        <v>599</v>
      </c>
      <c r="O31"/>
      <c r="P31"/>
    </row>
    <row r="32" spans="1:16" ht="14.4" x14ac:dyDescent="0.3">
      <c r="O32"/>
      <c r="P32"/>
    </row>
    <row r="33" spans="15:16" ht="14.4" x14ac:dyDescent="0.3">
      <c r="O33"/>
      <c r="P33"/>
    </row>
    <row r="34" spans="15:16" ht="14.4" x14ac:dyDescent="0.3">
      <c r="O34"/>
      <c r="P34"/>
    </row>
    <row r="35" spans="15:16" ht="14.4" x14ac:dyDescent="0.3">
      <c r="O35"/>
      <c r="P35"/>
    </row>
    <row r="36" spans="15:16" ht="14.4" x14ac:dyDescent="0.3">
      <c r="O36"/>
      <c r="P36"/>
    </row>
    <row r="37" spans="15:16" ht="14.4" x14ac:dyDescent="0.3">
      <c r="O37"/>
      <c r="P37"/>
    </row>
    <row r="38" spans="15:16" ht="14.4" x14ac:dyDescent="0.3">
      <c r="O38"/>
      <c r="P38"/>
    </row>
    <row r="39" spans="15:16" ht="14.4" x14ac:dyDescent="0.3">
      <c r="O39"/>
      <c r="P39"/>
    </row>
    <row r="40" spans="15:16" ht="14.4" x14ac:dyDescent="0.3">
      <c r="O40"/>
      <c r="P40"/>
    </row>
    <row r="41" spans="15:16" ht="14.4" x14ac:dyDescent="0.3">
      <c r="O41"/>
      <c r="P41"/>
    </row>
    <row r="42" spans="15:16" ht="14.4" x14ac:dyDescent="0.3">
      <c r="O42"/>
      <c r="P42"/>
    </row>
    <row r="43" spans="15:16" ht="14.4" x14ac:dyDescent="0.3">
      <c r="O43"/>
      <c r="P43"/>
    </row>
    <row r="44" spans="15:16" ht="14.4" x14ac:dyDescent="0.3">
      <c r="O44"/>
      <c r="P44"/>
    </row>
    <row r="45" spans="15:16" ht="14.4" x14ac:dyDescent="0.3">
      <c r="O45"/>
      <c r="P45"/>
    </row>
    <row r="46" spans="15:16" ht="14.4" x14ac:dyDescent="0.3">
      <c r="O46"/>
      <c r="P46"/>
    </row>
    <row r="47" spans="15:16" ht="14.4" x14ac:dyDescent="0.3">
      <c r="O47"/>
      <c r="P47"/>
    </row>
    <row r="48" spans="15:16" ht="14.4" x14ac:dyDescent="0.3">
      <c r="O48"/>
      <c r="P48"/>
    </row>
    <row r="49" spans="15:16" ht="14.4" x14ac:dyDescent="0.3">
      <c r="O49"/>
      <c r="P49"/>
    </row>
  </sheetData>
  <autoFilter ref="J20:K24" xr:uid="{E5788E60-ADED-49F0-AD2B-3FC7CD5428D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A9D9-5E79-43AA-9B57-BEDEBAD6DE87}">
  <dimension ref="F1:I2"/>
  <sheetViews>
    <sheetView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20.88671875" bestFit="1" customWidth="1"/>
    <col min="3" max="3" width="14.21875" bestFit="1" customWidth="1"/>
  </cols>
  <sheetData>
    <row r="1" spans="6:9" x14ac:dyDescent="0.3">
      <c r="F1" s="63" t="s">
        <v>828</v>
      </c>
      <c r="G1" s="64"/>
      <c r="H1" s="64"/>
      <c r="I1" s="64"/>
    </row>
    <row r="2" spans="6:9" x14ac:dyDescent="0.3">
      <c r="F2" s="64"/>
      <c r="G2" s="64"/>
      <c r="H2" s="64"/>
      <c r="I2" s="64"/>
    </row>
  </sheetData>
  <mergeCells count="1">
    <mergeCell ref="F1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9395-B470-4498-992D-08EFB7ECA06F}">
  <dimension ref="A1:S17"/>
  <sheetViews>
    <sheetView topLeftCell="A3" workbookViewId="0">
      <selection activeCell="L15" sqref="L15"/>
    </sheetView>
  </sheetViews>
  <sheetFormatPr defaultRowHeight="14.4" x14ac:dyDescent="0.3"/>
  <cols>
    <col min="6" max="6" width="12" customWidth="1"/>
    <col min="7" max="7" width="9.88671875" customWidth="1"/>
    <col min="8" max="8" width="11.33203125" customWidth="1"/>
    <col min="9" max="9" width="10" customWidth="1"/>
    <col min="14" max="14" width="9.6640625" customWidth="1"/>
    <col min="15" max="16" width="10.44140625" customWidth="1"/>
    <col min="18" max="18" width="9.88671875" customWidth="1"/>
  </cols>
  <sheetData>
    <row r="1" spans="1:19" ht="15" thickBot="1" x14ac:dyDescent="0.35"/>
    <row r="2" spans="1:19" x14ac:dyDescent="0.3">
      <c r="I2" s="65" t="s">
        <v>799</v>
      </c>
      <c r="J2" s="66"/>
      <c r="K2" s="66"/>
      <c r="L2" s="66"/>
      <c r="M2" s="66"/>
      <c r="N2" s="67"/>
    </row>
    <row r="3" spans="1:19" ht="15" thickBot="1" x14ac:dyDescent="0.35">
      <c r="G3" s="30"/>
      <c r="I3" s="68"/>
      <c r="J3" s="69"/>
      <c r="K3" s="69"/>
      <c r="L3" s="69"/>
      <c r="M3" s="69"/>
      <c r="N3" s="70"/>
    </row>
    <row r="4" spans="1:19" ht="15" thickBot="1" x14ac:dyDescent="0.35"/>
    <row r="5" spans="1:19" ht="16.2" thickBot="1" x14ac:dyDescent="0.35">
      <c r="I5" s="71" t="s">
        <v>800</v>
      </c>
      <c r="J5" s="72"/>
      <c r="K5" s="72"/>
      <c r="L5" s="72"/>
      <c r="M5" s="72"/>
      <c r="N5" s="73"/>
    </row>
    <row r="6" spans="1:19" ht="15" thickBot="1" x14ac:dyDescent="0.35">
      <c r="F6" s="24"/>
      <c r="G6" s="24"/>
    </row>
    <row r="7" spans="1:19" ht="28.8" x14ac:dyDescent="0.3">
      <c r="B7" s="27" t="s">
        <v>814</v>
      </c>
      <c r="C7" s="28" t="s">
        <v>815</v>
      </c>
      <c r="D7" s="29" t="s">
        <v>823</v>
      </c>
      <c r="E7" s="45"/>
      <c r="G7" s="11" t="s">
        <v>772</v>
      </c>
      <c r="H7" s="9" t="s">
        <v>774</v>
      </c>
      <c r="I7" s="13">
        <f>MIN('data set merge final'!M2:M1001)</f>
        <v>0.21</v>
      </c>
      <c r="K7" s="11" t="s">
        <v>777</v>
      </c>
      <c r="L7" s="9" t="s">
        <v>778</v>
      </c>
      <c r="M7" s="13">
        <f>SUM('data set merge final'!F2:F1001)</f>
        <v>11753</v>
      </c>
      <c r="O7" s="8"/>
      <c r="P7" s="31" t="s">
        <v>768</v>
      </c>
      <c r="Q7" s="8" t="s">
        <v>765</v>
      </c>
      <c r="R7" s="8" t="s">
        <v>766</v>
      </c>
    </row>
    <row r="8" spans="1:19" x14ac:dyDescent="0.3">
      <c r="B8" s="25">
        <v>58304</v>
      </c>
      <c r="C8" s="5">
        <v>4921</v>
      </c>
      <c r="D8" s="5">
        <v>53383</v>
      </c>
      <c r="E8" s="26"/>
      <c r="H8" s="9" t="s">
        <v>773</v>
      </c>
      <c r="I8" s="13">
        <f>MAX('data set merge final'!M2:M1001)</f>
        <v>1</v>
      </c>
      <c r="L8" s="9" t="s">
        <v>776</v>
      </c>
      <c r="M8" s="13">
        <f>AVERAGE('data set merge final'!F2:F1001)</f>
        <v>11.753</v>
      </c>
      <c r="O8" s="5" t="s">
        <v>767</v>
      </c>
      <c r="P8" s="6">
        <f>MAX('data set merge final'!O2:O1001)</f>
        <v>62</v>
      </c>
      <c r="Q8" s="6">
        <f>MAX('data set merge final'!P2:P1001)</f>
        <v>247</v>
      </c>
      <c r="R8" s="6">
        <f>MAX('data set merge final'!Q2:Q1001)</f>
        <v>249</v>
      </c>
    </row>
    <row r="9" spans="1:19" x14ac:dyDescent="0.3">
      <c r="B9" s="25"/>
      <c r="C9" s="5"/>
      <c r="D9" s="5"/>
      <c r="E9" s="26"/>
      <c r="H9" s="9" t="s">
        <v>770</v>
      </c>
      <c r="I9" s="13">
        <f>AVERAGE('data set merge final'!M2:M1001)</f>
        <v>0.58248000000000033</v>
      </c>
      <c r="L9" s="9" t="s">
        <v>773</v>
      </c>
      <c r="M9" s="17">
        <f>MAX('data set merge final'!F2:F1001)</f>
        <v>23</v>
      </c>
    </row>
    <row r="10" spans="1:19" ht="28.8" x14ac:dyDescent="0.3">
      <c r="O10" s="10"/>
      <c r="P10" s="32" t="s">
        <v>768</v>
      </c>
      <c r="Q10" s="15" t="s">
        <v>765</v>
      </c>
      <c r="R10" s="15" t="s">
        <v>766</v>
      </c>
    </row>
    <row r="11" spans="1:19" ht="37.200000000000003" customHeight="1" x14ac:dyDescent="0.3">
      <c r="B11" s="35" t="s">
        <v>763</v>
      </c>
      <c r="C11" s="16">
        <f ca="1">COUNTIF('data set merge final'!J2:J1001,"3")</f>
        <v>84</v>
      </c>
      <c r="G11" s="12" t="s">
        <v>775</v>
      </c>
      <c r="H11" s="9" t="s">
        <v>774</v>
      </c>
      <c r="I11" s="13">
        <f>MIN('data set merge final'!N2:N1001)</f>
        <v>0</v>
      </c>
      <c r="O11" s="13" t="s">
        <v>769</v>
      </c>
      <c r="P11" s="14">
        <f>MIN('data set merge final'!O2:O1001)</f>
        <v>0</v>
      </c>
      <c r="Q11" s="14">
        <f>MIN('data set merge final'!P2:P1001)</f>
        <v>0</v>
      </c>
      <c r="R11" s="14">
        <f>MIN('data set merge final'!Q2:Q1001)</f>
        <v>1</v>
      </c>
    </row>
    <row r="12" spans="1:19" ht="43.2" x14ac:dyDescent="0.3">
      <c r="B12" s="35" t="s">
        <v>764</v>
      </c>
      <c r="C12" s="16">
        <f>COUNTIF('data set merge final'!L2:L1001,"&gt;0.5")</f>
        <v>0</v>
      </c>
      <c r="E12" s="35" t="s">
        <v>761</v>
      </c>
      <c r="F12" s="16">
        <f>COUNTIF('data set merge final'!I2:I1001,"0")</f>
        <v>354</v>
      </c>
      <c r="H12" s="9" t="s">
        <v>773</v>
      </c>
      <c r="I12" s="13">
        <f>MAX('data set merge final'!N2:N1001)</f>
        <v>0.58209999999999995</v>
      </c>
      <c r="K12" s="9"/>
      <c r="L12" s="33" t="s">
        <v>768</v>
      </c>
      <c r="M12" s="9" t="s">
        <v>765</v>
      </c>
      <c r="N12" s="9" t="s">
        <v>766</v>
      </c>
    </row>
    <row r="13" spans="1:19" ht="45" customHeight="1" x14ac:dyDescent="0.3">
      <c r="B13" s="35" t="s">
        <v>827</v>
      </c>
      <c r="C13" s="16">
        <f>COUNTIF('data set merge final'!D2:D1001,"0")</f>
        <v>1000</v>
      </c>
      <c r="E13" s="35" t="s">
        <v>762</v>
      </c>
      <c r="F13" s="16">
        <f>COUNTIF('data set merge final'!H2:H1001,"6")</f>
        <v>166</v>
      </c>
      <c r="H13" s="9" t="s">
        <v>776</v>
      </c>
      <c r="I13" s="13">
        <f>AVERAGE('data set merge final'!N2:N1001)</f>
        <v>0.19512642642642544</v>
      </c>
      <c r="K13" s="13" t="s">
        <v>770</v>
      </c>
      <c r="L13" s="14">
        <f>AVERAGE('data set merge final'!O2:O1001)</f>
        <v>4.9210000000000003</v>
      </c>
      <c r="M13" s="14">
        <f>AVERAGE('data set merge final'!P2:P1001)</f>
        <v>53.383000000000003</v>
      </c>
      <c r="N13" s="14">
        <f>AVERAGE('data set merge final'!Q2:Q1001)</f>
        <v>58.304000000000002</v>
      </c>
      <c r="P13" s="9"/>
      <c r="Q13" s="33" t="s">
        <v>768</v>
      </c>
      <c r="R13" s="9" t="s">
        <v>765</v>
      </c>
      <c r="S13" s="9" t="s">
        <v>766</v>
      </c>
    </row>
    <row r="14" spans="1:19" x14ac:dyDescent="0.3">
      <c r="A14" s="36"/>
      <c r="P14" s="5" t="s">
        <v>771</v>
      </c>
      <c r="Q14" s="6">
        <f>SUM('data set merge final'!O2:O1001)</f>
        <v>4921</v>
      </c>
      <c r="R14" s="6">
        <f>SUM('data set merge final'!P2:P1001)</f>
        <v>53383</v>
      </c>
      <c r="S14" s="6">
        <f>SUM('data set merge final'!Q2:Q1001)</f>
        <v>58304</v>
      </c>
    </row>
    <row r="15" spans="1:19" ht="43.2" x14ac:dyDescent="0.3">
      <c r="A15" s="36"/>
      <c r="B15" s="34" t="s">
        <v>758</v>
      </c>
      <c r="C15" s="7">
        <f>MIN('data set merge final'!K2:K1001)</f>
        <v>0.02</v>
      </c>
    </row>
    <row r="16" spans="1:19" ht="43.2" x14ac:dyDescent="0.3">
      <c r="A16" s="37"/>
      <c r="B16" s="34" t="s">
        <v>759</v>
      </c>
      <c r="C16" s="7">
        <f>MAX('data set merge final'!K2:K1001)</f>
        <v>0.46</v>
      </c>
    </row>
    <row r="17" spans="2:3" ht="28.8" x14ac:dyDescent="0.3">
      <c r="B17" s="34" t="s">
        <v>760</v>
      </c>
      <c r="C17" s="7">
        <f>AVERAGE('data set merge final'!K2:K1001)</f>
        <v>0.20589999999999961</v>
      </c>
    </row>
  </sheetData>
  <mergeCells count="2">
    <mergeCell ref="I2:N3"/>
    <mergeCell ref="I5:N5"/>
  </mergeCells>
  <conditionalFormatting sqref="B11:C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:F13 B13:C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3FEE7B3-8FA4-4C6D-81E1-9492220BF6CB}">
            <xm:f>NOT(ISERROR(SEARCH($X$10,B11)))</xm:f>
            <xm:f>$X$10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B11:C12</xm:sqref>
        </x14:conditionalFormatting>
        <x14:conditionalFormatting xmlns:xm="http://schemas.microsoft.com/office/excel/2006/main">
          <x14:cfRule type="containsText" priority="4" operator="containsText" id="{CCBB6920-9845-4E43-999D-D163924DD823}">
            <xm:f>NOT(ISERROR(SEARCH($X$10,B12)))</xm:f>
            <xm:f>$X$10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E12:F13 B13:C13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43D9-A08C-410A-A96D-214273FA9F51}">
  <dimension ref="A1:U600"/>
  <sheetViews>
    <sheetView topLeftCell="L1" workbookViewId="0">
      <selection activeCell="V12" sqref="V12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  <col min="11" max="11" width="17.88671875" bestFit="1" customWidth="1"/>
    <col min="12" max="12" width="17.5546875" bestFit="1" customWidth="1"/>
    <col min="13" max="13" width="16" bestFit="1" customWidth="1"/>
    <col min="14" max="14" width="21.33203125" bestFit="1" customWidth="1"/>
    <col min="15" max="15" width="17.33203125" bestFit="1" customWidth="1"/>
    <col min="16" max="16" width="20.5546875" bestFit="1" customWidth="1"/>
    <col min="17" max="17" width="14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807</v>
      </c>
      <c r="L1" t="s">
        <v>808</v>
      </c>
      <c r="M1" t="s">
        <v>809</v>
      </c>
      <c r="N1" t="s">
        <v>810</v>
      </c>
      <c r="O1" t="s">
        <v>811</v>
      </c>
      <c r="P1" t="s">
        <v>812</v>
      </c>
      <c r="Q1" t="s">
        <v>813</v>
      </c>
    </row>
    <row r="2" spans="1:21" x14ac:dyDescent="0.3">
      <c r="A2">
        <v>1</v>
      </c>
      <c r="B2" s="4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1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</row>
    <row r="3" spans="1:21" x14ac:dyDescent="0.3">
      <c r="A3">
        <v>2</v>
      </c>
      <c r="B3" s="4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2</v>
      </c>
      <c r="L3">
        <v>0.2727</v>
      </c>
      <c r="M3">
        <v>0.8</v>
      </c>
      <c r="N3">
        <v>0</v>
      </c>
      <c r="O3">
        <v>8</v>
      </c>
      <c r="P3">
        <v>32</v>
      </c>
      <c r="Q3">
        <v>40</v>
      </c>
    </row>
    <row r="4" spans="1:21" x14ac:dyDescent="0.3">
      <c r="A4">
        <v>3</v>
      </c>
      <c r="B4" s="4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3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</row>
    <row r="5" spans="1:21" x14ac:dyDescent="0.3">
      <c r="A5">
        <v>4</v>
      </c>
      <c r="B5" s="4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</row>
    <row r="6" spans="1:21" x14ac:dyDescent="0.3">
      <c r="A6">
        <v>5</v>
      </c>
      <c r="B6" s="4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5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</row>
    <row r="7" spans="1:21" x14ac:dyDescent="0.3">
      <c r="A7">
        <v>6</v>
      </c>
      <c r="B7" s="4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6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</row>
    <row r="8" spans="1:21" x14ac:dyDescent="0.3">
      <c r="A8">
        <v>7</v>
      </c>
      <c r="B8" s="4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7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</row>
    <row r="9" spans="1:21" x14ac:dyDescent="0.3">
      <c r="A9">
        <v>8</v>
      </c>
      <c r="B9" s="4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8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</row>
    <row r="10" spans="1:21" x14ac:dyDescent="0.3">
      <c r="A10">
        <v>10</v>
      </c>
      <c r="B10" s="4">
        <v>40544</v>
      </c>
      <c r="C10">
        <v>1</v>
      </c>
      <c r="D10">
        <v>0</v>
      </c>
      <c r="E10">
        <v>1</v>
      </c>
      <c r="F10">
        <v>9</v>
      </c>
      <c r="G10" t="b">
        <v>0</v>
      </c>
      <c r="H10">
        <v>6</v>
      </c>
      <c r="I10">
        <v>1</v>
      </c>
      <c r="J10">
        <v>0.32</v>
      </c>
      <c r="K10">
        <v>10</v>
      </c>
      <c r="L10">
        <v>0.34849999999999998</v>
      </c>
      <c r="M10">
        <v>0.76</v>
      </c>
      <c r="N10">
        <v>0</v>
      </c>
      <c r="O10">
        <v>8</v>
      </c>
      <c r="P10">
        <v>6</v>
      </c>
      <c r="Q10">
        <v>14</v>
      </c>
    </row>
    <row r="11" spans="1:21" x14ac:dyDescent="0.3">
      <c r="A11">
        <v>11</v>
      </c>
      <c r="B11" s="4">
        <v>40544</v>
      </c>
      <c r="C11">
        <v>1</v>
      </c>
      <c r="D11">
        <v>0</v>
      </c>
      <c r="E11">
        <v>1</v>
      </c>
      <c r="F11">
        <v>10</v>
      </c>
      <c r="G11" t="b">
        <v>0</v>
      </c>
      <c r="H11">
        <v>6</v>
      </c>
      <c r="I11">
        <v>1</v>
      </c>
      <c r="J11">
        <v>0.38</v>
      </c>
      <c r="K11">
        <v>11</v>
      </c>
      <c r="L11">
        <v>0.39389999999999997</v>
      </c>
      <c r="M11">
        <v>0.76</v>
      </c>
      <c r="N11">
        <v>0.25369999999999998</v>
      </c>
      <c r="O11">
        <v>12</v>
      </c>
      <c r="P11">
        <v>24</v>
      </c>
      <c r="Q11">
        <v>36</v>
      </c>
    </row>
    <row r="12" spans="1:21" x14ac:dyDescent="0.3">
      <c r="A12">
        <v>12</v>
      </c>
      <c r="B12" s="4">
        <v>40544</v>
      </c>
      <c r="C12">
        <v>1</v>
      </c>
      <c r="D12">
        <v>0</v>
      </c>
      <c r="E12">
        <v>1</v>
      </c>
      <c r="F12">
        <v>11</v>
      </c>
      <c r="G12" t="b">
        <v>0</v>
      </c>
      <c r="H12">
        <v>6</v>
      </c>
      <c r="I12">
        <v>1</v>
      </c>
      <c r="J12">
        <v>0.36</v>
      </c>
      <c r="K12">
        <v>12</v>
      </c>
      <c r="L12">
        <v>0.33329999999999999</v>
      </c>
      <c r="M12">
        <v>0.81</v>
      </c>
      <c r="N12">
        <v>0.28360000000000002</v>
      </c>
      <c r="O12">
        <v>26</v>
      </c>
      <c r="P12">
        <v>30</v>
      </c>
      <c r="Q12">
        <v>56</v>
      </c>
    </row>
    <row r="13" spans="1:21" x14ac:dyDescent="0.3">
      <c r="A13">
        <v>13</v>
      </c>
      <c r="B13" s="4">
        <v>40544</v>
      </c>
      <c r="C13">
        <v>1</v>
      </c>
      <c r="D13">
        <v>0</v>
      </c>
      <c r="E13">
        <v>1</v>
      </c>
      <c r="F13">
        <v>12</v>
      </c>
      <c r="G13" t="b">
        <v>0</v>
      </c>
      <c r="H13">
        <v>6</v>
      </c>
      <c r="I13">
        <v>1</v>
      </c>
      <c r="J13">
        <v>0.42</v>
      </c>
      <c r="K13">
        <v>13</v>
      </c>
      <c r="L13">
        <v>0.42420000000000002</v>
      </c>
      <c r="M13">
        <v>0.77</v>
      </c>
      <c r="N13">
        <v>0.28360000000000002</v>
      </c>
      <c r="O13">
        <v>29</v>
      </c>
      <c r="P13">
        <v>55</v>
      </c>
      <c r="Q13">
        <v>84</v>
      </c>
    </row>
    <row r="14" spans="1:21" ht="27" customHeight="1" x14ac:dyDescent="0.3">
      <c r="A14">
        <v>14</v>
      </c>
      <c r="B14" s="4">
        <v>40544</v>
      </c>
      <c r="C14">
        <v>1</v>
      </c>
      <c r="D14">
        <v>0</v>
      </c>
      <c r="E14">
        <v>1</v>
      </c>
      <c r="F14">
        <v>13</v>
      </c>
      <c r="G14" t="b">
        <v>0</v>
      </c>
      <c r="H14">
        <v>6</v>
      </c>
      <c r="I14">
        <v>2</v>
      </c>
      <c r="J14">
        <v>0.46</v>
      </c>
      <c r="K14">
        <v>14</v>
      </c>
      <c r="L14">
        <v>0.45450000000000002</v>
      </c>
      <c r="M14">
        <v>0.72</v>
      </c>
      <c r="N14">
        <v>0.29849999999999999</v>
      </c>
      <c r="O14">
        <v>47</v>
      </c>
      <c r="P14">
        <v>47</v>
      </c>
      <c r="Q14">
        <v>94</v>
      </c>
      <c r="T14" s="24" t="s">
        <v>830</v>
      </c>
      <c r="U14" s="24" t="s">
        <v>829</v>
      </c>
    </row>
    <row r="15" spans="1:21" x14ac:dyDescent="0.3">
      <c r="A15">
        <v>15</v>
      </c>
      <c r="B15" s="4">
        <v>40544</v>
      </c>
      <c r="C15">
        <v>1</v>
      </c>
      <c r="D15">
        <v>0</v>
      </c>
      <c r="E15">
        <v>1</v>
      </c>
      <c r="F15">
        <v>14</v>
      </c>
      <c r="G15" t="b">
        <v>0</v>
      </c>
      <c r="H15">
        <v>6</v>
      </c>
      <c r="I15">
        <v>2</v>
      </c>
      <c r="J15">
        <v>0.46</v>
      </c>
      <c r="K15">
        <v>15</v>
      </c>
      <c r="L15">
        <v>0.45450000000000002</v>
      </c>
      <c r="M15">
        <v>0.72</v>
      </c>
      <c r="N15">
        <v>0.28360000000000002</v>
      </c>
      <c r="O15">
        <v>35</v>
      </c>
      <c r="P15">
        <v>71</v>
      </c>
      <c r="Q15">
        <v>106</v>
      </c>
      <c r="S15">
        <v>1</v>
      </c>
      <c r="T15">
        <f>SUMIF(Q2:Q1001,"1",I2:I1001)</f>
        <v>48</v>
      </c>
      <c r="U15">
        <f>COUNTIF(I2:I1001,"1")</f>
        <v>362</v>
      </c>
    </row>
    <row r="16" spans="1:21" x14ac:dyDescent="0.3">
      <c r="A16">
        <v>16</v>
      </c>
      <c r="B16" s="4">
        <v>40544</v>
      </c>
      <c r="C16">
        <v>1</v>
      </c>
      <c r="D16">
        <v>0</v>
      </c>
      <c r="E16">
        <v>1</v>
      </c>
      <c r="F16">
        <v>15</v>
      </c>
      <c r="G16" t="b">
        <v>0</v>
      </c>
      <c r="H16">
        <v>6</v>
      </c>
      <c r="I16">
        <v>2</v>
      </c>
      <c r="J16">
        <v>0.44</v>
      </c>
      <c r="K16">
        <v>16</v>
      </c>
      <c r="L16">
        <v>0.43940000000000001</v>
      </c>
      <c r="M16">
        <v>0.77</v>
      </c>
      <c r="N16">
        <v>0.29849999999999999</v>
      </c>
      <c r="O16">
        <v>40</v>
      </c>
      <c r="P16">
        <v>70</v>
      </c>
      <c r="Q16">
        <v>110</v>
      </c>
      <c r="S16">
        <v>2</v>
      </c>
      <c r="T16">
        <f>SUMIF(Q2:Q1001,"2",I2:I1001)</f>
        <v>30</v>
      </c>
      <c r="U16">
        <f>COUNTIF(I2:I1001,"2")</f>
        <v>190</v>
      </c>
    </row>
    <row r="17" spans="1:21" x14ac:dyDescent="0.3">
      <c r="A17">
        <v>17</v>
      </c>
      <c r="B17" s="4">
        <v>40544</v>
      </c>
      <c r="C17">
        <v>1</v>
      </c>
      <c r="D17">
        <v>0</v>
      </c>
      <c r="E17">
        <v>1</v>
      </c>
      <c r="F17">
        <v>16</v>
      </c>
      <c r="G17" t="b">
        <v>0</v>
      </c>
      <c r="H17">
        <v>6</v>
      </c>
      <c r="I17">
        <v>2</v>
      </c>
      <c r="J17">
        <v>0.42</v>
      </c>
      <c r="K17">
        <v>17</v>
      </c>
      <c r="L17">
        <v>0.42420000000000002</v>
      </c>
      <c r="M17">
        <v>0.82</v>
      </c>
      <c r="N17">
        <v>0.29849999999999999</v>
      </c>
      <c r="O17">
        <v>41</v>
      </c>
      <c r="P17">
        <v>52</v>
      </c>
      <c r="Q17">
        <v>93</v>
      </c>
      <c r="S17">
        <v>3</v>
      </c>
      <c r="T17">
        <f>SUMIF(Q2:Q1001,"3",I2:I1001)</f>
        <v>29</v>
      </c>
      <c r="U17">
        <f>COUNTIF(I2:I1001,"3")</f>
        <v>46</v>
      </c>
    </row>
    <row r="18" spans="1:21" x14ac:dyDescent="0.3">
      <c r="A18">
        <v>19</v>
      </c>
      <c r="B18" s="4">
        <v>40544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3</v>
      </c>
      <c r="J18">
        <v>0.42</v>
      </c>
      <c r="K18">
        <v>19</v>
      </c>
      <c r="L18">
        <v>0.42420000000000002</v>
      </c>
      <c r="M18">
        <v>0.88</v>
      </c>
      <c r="N18">
        <v>0.25369999999999998</v>
      </c>
      <c r="O18">
        <v>9</v>
      </c>
      <c r="P18">
        <v>26</v>
      </c>
      <c r="Q18">
        <v>35</v>
      </c>
      <c r="S18">
        <v>4</v>
      </c>
      <c r="T18">
        <f>SUMIF(Q2:Q1001,"4",I2:I1001)</f>
        <v>11</v>
      </c>
      <c r="U18">
        <f>COUNTIF(I2:I1001,"4")</f>
        <v>1</v>
      </c>
    </row>
    <row r="19" spans="1:21" x14ac:dyDescent="0.3">
      <c r="A19">
        <v>20</v>
      </c>
      <c r="B19" s="4">
        <v>40544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3</v>
      </c>
      <c r="J19">
        <v>0.42</v>
      </c>
      <c r="K19">
        <v>20</v>
      </c>
      <c r="L19">
        <v>0.42420000000000002</v>
      </c>
      <c r="M19">
        <v>0.88</v>
      </c>
      <c r="N19">
        <v>0.25369999999999998</v>
      </c>
      <c r="O19">
        <v>6</v>
      </c>
      <c r="P19">
        <v>31</v>
      </c>
      <c r="Q19">
        <v>37</v>
      </c>
    </row>
    <row r="20" spans="1:21" x14ac:dyDescent="0.3">
      <c r="A20">
        <v>21</v>
      </c>
      <c r="B20" s="4">
        <v>40544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2</v>
      </c>
      <c r="J20">
        <v>0.4</v>
      </c>
      <c r="K20">
        <v>21</v>
      </c>
      <c r="L20">
        <v>0.40910000000000002</v>
      </c>
      <c r="M20">
        <v>0.87</v>
      </c>
      <c r="N20">
        <v>0.25369999999999998</v>
      </c>
      <c r="O20">
        <v>11</v>
      </c>
      <c r="P20">
        <v>25</v>
      </c>
      <c r="Q20">
        <v>36</v>
      </c>
    </row>
    <row r="21" spans="1:21" x14ac:dyDescent="0.3">
      <c r="A21">
        <v>22</v>
      </c>
      <c r="B21" s="4">
        <v>40544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2</v>
      </c>
      <c r="J21">
        <v>0.4</v>
      </c>
      <c r="K21">
        <v>22</v>
      </c>
      <c r="L21">
        <v>0.40910000000000002</v>
      </c>
      <c r="M21">
        <v>0.87</v>
      </c>
      <c r="N21">
        <v>0.19400000000000001</v>
      </c>
      <c r="O21">
        <v>3</v>
      </c>
      <c r="P21">
        <v>31</v>
      </c>
      <c r="Q21">
        <v>34</v>
      </c>
    </row>
    <row r="22" spans="1:21" x14ac:dyDescent="0.3">
      <c r="A22">
        <v>23</v>
      </c>
      <c r="B22" s="4">
        <v>40544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2</v>
      </c>
      <c r="J22">
        <v>0.4</v>
      </c>
      <c r="K22">
        <v>23</v>
      </c>
      <c r="L22">
        <v>0.40910000000000002</v>
      </c>
      <c r="M22">
        <v>0.94</v>
      </c>
      <c r="N22">
        <v>0.22389999999999999</v>
      </c>
      <c r="O22">
        <v>11</v>
      </c>
      <c r="P22">
        <v>17</v>
      </c>
      <c r="Q22">
        <v>28</v>
      </c>
    </row>
    <row r="23" spans="1:21" x14ac:dyDescent="0.3">
      <c r="A23">
        <v>25</v>
      </c>
      <c r="B23" s="4">
        <v>40545</v>
      </c>
      <c r="C23">
        <v>1</v>
      </c>
      <c r="D23">
        <v>0</v>
      </c>
      <c r="E23">
        <v>1</v>
      </c>
      <c r="F23">
        <v>0</v>
      </c>
      <c r="G23" t="b">
        <v>0</v>
      </c>
      <c r="H23">
        <v>0</v>
      </c>
      <c r="I23">
        <v>2</v>
      </c>
      <c r="J23">
        <v>0.46</v>
      </c>
      <c r="K23">
        <v>25</v>
      </c>
      <c r="L23">
        <v>0.45450000000000002</v>
      </c>
      <c r="M23">
        <v>0.88</v>
      </c>
      <c r="N23">
        <v>0.29849999999999999</v>
      </c>
      <c r="O23">
        <v>4</v>
      </c>
      <c r="P23">
        <v>13</v>
      </c>
      <c r="Q23">
        <v>17</v>
      </c>
    </row>
    <row r="24" spans="1:21" x14ac:dyDescent="0.3">
      <c r="A24">
        <v>26</v>
      </c>
      <c r="B24" s="4">
        <v>40545</v>
      </c>
      <c r="C24">
        <v>1</v>
      </c>
      <c r="D24">
        <v>0</v>
      </c>
      <c r="E24">
        <v>1</v>
      </c>
      <c r="F24">
        <v>1</v>
      </c>
      <c r="G24" t="b">
        <v>0</v>
      </c>
      <c r="H24">
        <v>0</v>
      </c>
      <c r="I24">
        <v>2</v>
      </c>
      <c r="J24">
        <v>0.44</v>
      </c>
      <c r="K24">
        <v>26</v>
      </c>
      <c r="L24">
        <v>0.43940000000000001</v>
      </c>
      <c r="M24">
        <v>0.94</v>
      </c>
      <c r="N24">
        <v>0.25369999999999998</v>
      </c>
      <c r="O24">
        <v>1</v>
      </c>
      <c r="P24">
        <v>16</v>
      </c>
      <c r="Q24">
        <v>17</v>
      </c>
    </row>
    <row r="25" spans="1:21" x14ac:dyDescent="0.3">
      <c r="A25">
        <v>27</v>
      </c>
      <c r="B25" s="4">
        <v>40545</v>
      </c>
      <c r="C25">
        <v>1</v>
      </c>
      <c r="D25">
        <v>0</v>
      </c>
      <c r="E25">
        <v>1</v>
      </c>
      <c r="F25">
        <v>2</v>
      </c>
      <c r="G25" t="b">
        <v>0</v>
      </c>
      <c r="H25">
        <v>0</v>
      </c>
      <c r="I25">
        <v>2</v>
      </c>
      <c r="J25">
        <v>0.42</v>
      </c>
      <c r="K25">
        <v>27</v>
      </c>
      <c r="L25">
        <v>0.42420000000000002</v>
      </c>
      <c r="M25">
        <v>1</v>
      </c>
      <c r="N25">
        <v>0.28360000000000002</v>
      </c>
      <c r="O25">
        <v>1</v>
      </c>
      <c r="P25">
        <v>8</v>
      </c>
      <c r="Q25">
        <v>9</v>
      </c>
    </row>
    <row r="26" spans="1:21" x14ac:dyDescent="0.3">
      <c r="A26">
        <v>28</v>
      </c>
      <c r="B26" s="4">
        <v>40545</v>
      </c>
      <c r="C26">
        <v>1</v>
      </c>
      <c r="D26">
        <v>0</v>
      </c>
      <c r="E26">
        <v>1</v>
      </c>
      <c r="F26">
        <v>3</v>
      </c>
      <c r="G26" t="b">
        <v>0</v>
      </c>
      <c r="H26">
        <v>0</v>
      </c>
      <c r="I26">
        <v>2</v>
      </c>
      <c r="J26">
        <v>0.46</v>
      </c>
      <c r="K26">
        <v>28</v>
      </c>
      <c r="L26">
        <v>0.45450000000000002</v>
      </c>
      <c r="M26">
        <v>0.94</v>
      </c>
      <c r="N26">
        <v>0.19400000000000001</v>
      </c>
      <c r="O26">
        <v>2</v>
      </c>
      <c r="P26">
        <v>4</v>
      </c>
      <c r="Q26">
        <v>6</v>
      </c>
    </row>
    <row r="27" spans="1:21" x14ac:dyDescent="0.3">
      <c r="A27">
        <v>30</v>
      </c>
      <c r="B27" s="4">
        <v>40545</v>
      </c>
      <c r="C27">
        <v>1</v>
      </c>
      <c r="D27">
        <v>0</v>
      </c>
      <c r="E27">
        <v>1</v>
      </c>
      <c r="F27">
        <v>6</v>
      </c>
      <c r="G27" t="b">
        <v>0</v>
      </c>
      <c r="H27">
        <v>0</v>
      </c>
      <c r="I27">
        <v>3</v>
      </c>
      <c r="J27">
        <v>0.42</v>
      </c>
      <c r="K27">
        <v>30</v>
      </c>
      <c r="L27">
        <v>0.42420000000000002</v>
      </c>
      <c r="M27">
        <v>0.77</v>
      </c>
      <c r="N27">
        <v>0.29849999999999999</v>
      </c>
      <c r="O27">
        <v>0</v>
      </c>
      <c r="P27">
        <v>2</v>
      </c>
      <c r="Q27">
        <v>2</v>
      </c>
    </row>
    <row r="28" spans="1:21" x14ac:dyDescent="0.3">
      <c r="A28">
        <v>31</v>
      </c>
      <c r="B28" s="4">
        <v>40545</v>
      </c>
      <c r="C28">
        <v>1</v>
      </c>
      <c r="D28">
        <v>0</v>
      </c>
      <c r="E28">
        <v>1</v>
      </c>
      <c r="F28">
        <v>7</v>
      </c>
      <c r="G28" t="b">
        <v>0</v>
      </c>
      <c r="H28">
        <v>0</v>
      </c>
      <c r="I28">
        <v>2</v>
      </c>
      <c r="J28">
        <v>0.4</v>
      </c>
      <c r="K28">
        <v>31</v>
      </c>
      <c r="L28">
        <v>0.40910000000000002</v>
      </c>
      <c r="M28">
        <v>0.76</v>
      </c>
      <c r="N28">
        <v>0.19400000000000001</v>
      </c>
      <c r="O28">
        <v>0</v>
      </c>
      <c r="P28">
        <v>1</v>
      </c>
      <c r="Q28">
        <v>1</v>
      </c>
    </row>
    <row r="29" spans="1:21" x14ac:dyDescent="0.3">
      <c r="A29">
        <v>32</v>
      </c>
      <c r="B29" s="4">
        <v>40545</v>
      </c>
      <c r="C29">
        <v>1</v>
      </c>
      <c r="D29">
        <v>0</v>
      </c>
      <c r="E29">
        <v>1</v>
      </c>
      <c r="F29">
        <v>8</v>
      </c>
      <c r="G29" t="b">
        <v>0</v>
      </c>
      <c r="H29">
        <v>0</v>
      </c>
      <c r="I29">
        <v>3</v>
      </c>
      <c r="J29">
        <v>0.4</v>
      </c>
      <c r="K29">
        <v>32</v>
      </c>
      <c r="L29">
        <v>0.40910000000000002</v>
      </c>
      <c r="M29">
        <v>0.71</v>
      </c>
      <c r="N29">
        <v>0.22389999999999999</v>
      </c>
      <c r="O29">
        <v>0</v>
      </c>
      <c r="P29">
        <v>8</v>
      </c>
      <c r="Q29">
        <v>8</v>
      </c>
    </row>
    <row r="30" spans="1:21" x14ac:dyDescent="0.3">
      <c r="A30">
        <v>34</v>
      </c>
      <c r="B30" s="4">
        <v>40545</v>
      </c>
      <c r="C30">
        <v>1</v>
      </c>
      <c r="D30">
        <v>0</v>
      </c>
      <c r="E30">
        <v>1</v>
      </c>
      <c r="F30">
        <v>10</v>
      </c>
      <c r="G30" t="b">
        <v>0</v>
      </c>
      <c r="H30">
        <v>0</v>
      </c>
      <c r="I30">
        <v>2</v>
      </c>
      <c r="J30">
        <v>0.36</v>
      </c>
      <c r="K30">
        <v>34</v>
      </c>
      <c r="L30">
        <v>0.34849999999999998</v>
      </c>
      <c r="M30">
        <v>0.81</v>
      </c>
      <c r="N30">
        <v>0.22389999999999999</v>
      </c>
      <c r="O30">
        <v>7</v>
      </c>
      <c r="P30">
        <v>46</v>
      </c>
      <c r="Q30">
        <v>53</v>
      </c>
    </row>
    <row r="31" spans="1:21" x14ac:dyDescent="0.3">
      <c r="A31">
        <v>35</v>
      </c>
      <c r="B31" s="4">
        <v>40545</v>
      </c>
      <c r="C31">
        <v>1</v>
      </c>
      <c r="D31">
        <v>0</v>
      </c>
      <c r="E31">
        <v>1</v>
      </c>
      <c r="F31">
        <v>11</v>
      </c>
      <c r="G31" t="b">
        <v>0</v>
      </c>
      <c r="H31">
        <v>0</v>
      </c>
      <c r="I31">
        <v>2</v>
      </c>
      <c r="J31">
        <v>0.36</v>
      </c>
      <c r="K31">
        <v>35</v>
      </c>
      <c r="L31">
        <v>0.33329999999999999</v>
      </c>
      <c r="M31">
        <v>0.71</v>
      </c>
      <c r="N31">
        <v>0.25369999999999998</v>
      </c>
      <c r="O31">
        <v>16</v>
      </c>
      <c r="P31">
        <v>54</v>
      </c>
      <c r="Q31">
        <v>70</v>
      </c>
    </row>
    <row r="32" spans="1:21" x14ac:dyDescent="0.3">
      <c r="A32">
        <v>36</v>
      </c>
      <c r="B32" s="4">
        <v>40545</v>
      </c>
      <c r="C32">
        <v>1</v>
      </c>
      <c r="D32">
        <v>0</v>
      </c>
      <c r="E32">
        <v>1</v>
      </c>
      <c r="F32">
        <v>12</v>
      </c>
      <c r="G32" t="b">
        <v>0</v>
      </c>
      <c r="H32">
        <v>0</v>
      </c>
      <c r="I32">
        <v>2</v>
      </c>
      <c r="J32">
        <v>0.36</v>
      </c>
      <c r="K32">
        <v>36</v>
      </c>
      <c r="L32">
        <v>0.33329999999999999</v>
      </c>
      <c r="M32">
        <v>0.66</v>
      </c>
      <c r="N32">
        <v>0.29849999999999999</v>
      </c>
      <c r="O32">
        <v>20</v>
      </c>
      <c r="P32">
        <v>73</v>
      </c>
      <c r="Q32">
        <v>93</v>
      </c>
    </row>
    <row r="33" spans="1:17" x14ac:dyDescent="0.3">
      <c r="A33">
        <v>37</v>
      </c>
      <c r="B33" s="4">
        <v>40545</v>
      </c>
      <c r="C33">
        <v>1</v>
      </c>
      <c r="D33">
        <v>0</v>
      </c>
      <c r="E33">
        <v>1</v>
      </c>
      <c r="F33">
        <v>13</v>
      </c>
      <c r="G33" t="b">
        <v>0</v>
      </c>
      <c r="H33">
        <v>0</v>
      </c>
      <c r="I33">
        <v>2</v>
      </c>
      <c r="J33">
        <v>0.36</v>
      </c>
      <c r="K33">
        <v>37</v>
      </c>
      <c r="L33">
        <v>0.34849999999999998</v>
      </c>
      <c r="M33">
        <v>0.66</v>
      </c>
      <c r="N33">
        <v>0.1343</v>
      </c>
      <c r="O33">
        <v>11</v>
      </c>
      <c r="P33">
        <v>64</v>
      </c>
      <c r="Q33">
        <v>75</v>
      </c>
    </row>
    <row r="34" spans="1:17" x14ac:dyDescent="0.3">
      <c r="A34">
        <v>39</v>
      </c>
      <c r="B34" s="4">
        <v>40545</v>
      </c>
      <c r="C34">
        <v>1</v>
      </c>
      <c r="D34">
        <v>0</v>
      </c>
      <c r="E34">
        <v>1</v>
      </c>
      <c r="F34">
        <v>15</v>
      </c>
      <c r="G34" t="b">
        <v>0</v>
      </c>
      <c r="H34">
        <v>0</v>
      </c>
      <c r="I34">
        <v>3</v>
      </c>
      <c r="J34">
        <v>0.34</v>
      </c>
      <c r="K34">
        <v>39</v>
      </c>
      <c r="L34">
        <v>0.33329999999999999</v>
      </c>
      <c r="M34">
        <v>0.81</v>
      </c>
      <c r="N34">
        <v>0.16420000000000001</v>
      </c>
      <c r="O34">
        <v>19</v>
      </c>
      <c r="P34">
        <v>55</v>
      </c>
      <c r="Q34">
        <v>74</v>
      </c>
    </row>
    <row r="35" spans="1:17" x14ac:dyDescent="0.3">
      <c r="A35">
        <v>40</v>
      </c>
      <c r="B35" s="4">
        <v>40545</v>
      </c>
      <c r="C35">
        <v>1</v>
      </c>
      <c r="D35">
        <v>0</v>
      </c>
      <c r="E35">
        <v>1</v>
      </c>
      <c r="F35">
        <v>16</v>
      </c>
      <c r="G35" t="b">
        <v>0</v>
      </c>
      <c r="H35">
        <v>0</v>
      </c>
      <c r="I35">
        <v>3</v>
      </c>
      <c r="J35">
        <v>0.34</v>
      </c>
      <c r="K35">
        <v>40</v>
      </c>
      <c r="L35">
        <v>0.33329999999999999</v>
      </c>
      <c r="M35">
        <v>0.71</v>
      </c>
      <c r="N35">
        <v>0.16420000000000001</v>
      </c>
      <c r="O35">
        <v>9</v>
      </c>
      <c r="P35">
        <v>67</v>
      </c>
      <c r="Q35">
        <v>76</v>
      </c>
    </row>
    <row r="36" spans="1:17" x14ac:dyDescent="0.3">
      <c r="A36">
        <v>41</v>
      </c>
      <c r="B36" s="4">
        <v>40545</v>
      </c>
      <c r="C36">
        <v>1</v>
      </c>
      <c r="D36">
        <v>0</v>
      </c>
      <c r="E36">
        <v>1</v>
      </c>
      <c r="F36">
        <v>17</v>
      </c>
      <c r="G36" t="b">
        <v>0</v>
      </c>
      <c r="H36">
        <v>0</v>
      </c>
      <c r="I36">
        <v>1</v>
      </c>
      <c r="J36">
        <v>0.34</v>
      </c>
      <c r="K36">
        <v>41</v>
      </c>
      <c r="L36">
        <v>0.33329999999999999</v>
      </c>
      <c r="M36">
        <v>0.56999999999999995</v>
      </c>
      <c r="N36">
        <v>0.19400000000000001</v>
      </c>
      <c r="O36">
        <v>7</v>
      </c>
      <c r="P36">
        <v>58</v>
      </c>
      <c r="Q36">
        <v>65</v>
      </c>
    </row>
    <row r="37" spans="1:17" x14ac:dyDescent="0.3">
      <c r="A37">
        <v>42</v>
      </c>
      <c r="B37" s="4">
        <v>40545</v>
      </c>
      <c r="C37">
        <v>1</v>
      </c>
      <c r="D37">
        <v>0</v>
      </c>
      <c r="E37">
        <v>1</v>
      </c>
      <c r="F37">
        <v>18</v>
      </c>
      <c r="G37" t="b">
        <v>0</v>
      </c>
      <c r="H37">
        <v>0</v>
      </c>
      <c r="I37">
        <v>2</v>
      </c>
      <c r="J37">
        <v>0.36</v>
      </c>
      <c r="K37">
        <v>42</v>
      </c>
      <c r="L37">
        <v>0.33329999999999999</v>
      </c>
      <c r="M37">
        <v>0.46</v>
      </c>
      <c r="N37">
        <v>0.32840000000000003</v>
      </c>
      <c r="O37">
        <v>10</v>
      </c>
      <c r="P37">
        <v>43</v>
      </c>
      <c r="Q37">
        <v>53</v>
      </c>
    </row>
    <row r="38" spans="1:17" x14ac:dyDescent="0.3">
      <c r="A38">
        <v>43</v>
      </c>
      <c r="B38" s="4">
        <v>40545</v>
      </c>
      <c r="C38">
        <v>1</v>
      </c>
      <c r="D38">
        <v>0</v>
      </c>
      <c r="E38">
        <v>1</v>
      </c>
      <c r="F38">
        <v>19</v>
      </c>
      <c r="G38" t="b">
        <v>0</v>
      </c>
      <c r="H38">
        <v>0</v>
      </c>
      <c r="I38">
        <v>1</v>
      </c>
      <c r="J38">
        <v>0.32</v>
      </c>
      <c r="K38">
        <v>43</v>
      </c>
      <c r="L38">
        <v>0.28789999999999999</v>
      </c>
      <c r="M38">
        <v>0.42</v>
      </c>
      <c r="N38">
        <v>0.44779999999999998</v>
      </c>
      <c r="O38">
        <v>1</v>
      </c>
      <c r="P38">
        <v>29</v>
      </c>
      <c r="Q38">
        <v>30</v>
      </c>
    </row>
    <row r="39" spans="1:17" x14ac:dyDescent="0.3">
      <c r="A39">
        <v>45</v>
      </c>
      <c r="B39" s="4">
        <v>40545</v>
      </c>
      <c r="C39">
        <v>1</v>
      </c>
      <c r="D39">
        <v>0</v>
      </c>
      <c r="E39">
        <v>1</v>
      </c>
      <c r="F39">
        <v>21</v>
      </c>
      <c r="G39" t="b">
        <v>0</v>
      </c>
      <c r="H39">
        <v>0</v>
      </c>
      <c r="I39">
        <v>1</v>
      </c>
      <c r="J39">
        <v>0.26</v>
      </c>
      <c r="K39">
        <v>45</v>
      </c>
      <c r="L39">
        <v>0.2273</v>
      </c>
      <c r="M39">
        <v>0.44</v>
      </c>
      <c r="N39">
        <v>0.32840000000000003</v>
      </c>
      <c r="O39">
        <v>11</v>
      </c>
      <c r="P39">
        <v>20</v>
      </c>
      <c r="Q39">
        <v>31</v>
      </c>
    </row>
    <row r="40" spans="1:17" x14ac:dyDescent="0.3">
      <c r="A40">
        <v>46</v>
      </c>
      <c r="B40" s="4">
        <v>40545</v>
      </c>
      <c r="C40">
        <v>1</v>
      </c>
      <c r="D40">
        <v>0</v>
      </c>
      <c r="E40">
        <v>1</v>
      </c>
      <c r="F40">
        <v>22</v>
      </c>
      <c r="G40" t="b">
        <v>0</v>
      </c>
      <c r="H40">
        <v>0</v>
      </c>
      <c r="I40">
        <v>1</v>
      </c>
      <c r="J40">
        <v>0.24</v>
      </c>
      <c r="K40">
        <v>46</v>
      </c>
      <c r="L40">
        <v>0.21210000000000001</v>
      </c>
      <c r="M40">
        <v>0.44</v>
      </c>
      <c r="N40">
        <v>0.29849999999999999</v>
      </c>
      <c r="O40">
        <v>0</v>
      </c>
      <c r="P40">
        <v>9</v>
      </c>
      <c r="Q40">
        <v>9</v>
      </c>
    </row>
    <row r="41" spans="1:17" x14ac:dyDescent="0.3">
      <c r="A41">
        <v>47</v>
      </c>
      <c r="B41" s="4">
        <v>40545</v>
      </c>
      <c r="C41">
        <v>1</v>
      </c>
      <c r="D41">
        <v>0</v>
      </c>
      <c r="E41">
        <v>1</v>
      </c>
      <c r="F41">
        <v>23</v>
      </c>
      <c r="G41" t="b">
        <v>0</v>
      </c>
      <c r="H41">
        <v>0</v>
      </c>
      <c r="I41">
        <v>1</v>
      </c>
      <c r="J41">
        <v>0.22</v>
      </c>
      <c r="K41">
        <v>47</v>
      </c>
      <c r="L41">
        <v>0.2273</v>
      </c>
      <c r="M41">
        <v>0.47</v>
      </c>
      <c r="N41">
        <v>0.16420000000000001</v>
      </c>
      <c r="O41">
        <v>0</v>
      </c>
      <c r="P41">
        <v>8</v>
      </c>
      <c r="Q41">
        <v>8</v>
      </c>
    </row>
    <row r="42" spans="1:17" x14ac:dyDescent="0.3">
      <c r="A42">
        <v>48</v>
      </c>
      <c r="B42" s="4">
        <v>40546</v>
      </c>
      <c r="C42">
        <v>1</v>
      </c>
      <c r="D42">
        <v>0</v>
      </c>
      <c r="E42">
        <v>1</v>
      </c>
      <c r="F42">
        <v>0</v>
      </c>
      <c r="G42" t="b">
        <v>0</v>
      </c>
      <c r="H42">
        <v>1</v>
      </c>
      <c r="I42">
        <v>1</v>
      </c>
      <c r="J42">
        <v>0.22</v>
      </c>
      <c r="K42">
        <v>48</v>
      </c>
      <c r="L42">
        <v>0.19700000000000001</v>
      </c>
      <c r="M42">
        <v>0.44</v>
      </c>
      <c r="N42">
        <v>0.35820000000000002</v>
      </c>
      <c r="O42">
        <v>0</v>
      </c>
      <c r="P42">
        <v>5</v>
      </c>
      <c r="Q42">
        <v>5</v>
      </c>
    </row>
    <row r="43" spans="1:17" x14ac:dyDescent="0.3">
      <c r="A43">
        <v>50</v>
      </c>
      <c r="B43" s="4">
        <v>40546</v>
      </c>
      <c r="C43">
        <v>1</v>
      </c>
      <c r="D43">
        <v>0</v>
      </c>
      <c r="E43">
        <v>1</v>
      </c>
      <c r="F43">
        <v>4</v>
      </c>
      <c r="G43" t="b">
        <v>0</v>
      </c>
      <c r="H43">
        <v>1</v>
      </c>
      <c r="I43">
        <v>1</v>
      </c>
      <c r="J43">
        <v>0.16</v>
      </c>
      <c r="K43">
        <v>50</v>
      </c>
      <c r="L43">
        <v>0.13639999999999999</v>
      </c>
      <c r="M43">
        <v>0.47</v>
      </c>
      <c r="N43">
        <v>0.3881</v>
      </c>
      <c r="O43">
        <v>0</v>
      </c>
      <c r="P43">
        <v>1</v>
      </c>
      <c r="Q43">
        <v>1</v>
      </c>
    </row>
    <row r="44" spans="1:17" x14ac:dyDescent="0.3">
      <c r="A44">
        <v>51</v>
      </c>
      <c r="B44" s="4">
        <v>40546</v>
      </c>
      <c r="C44">
        <v>1</v>
      </c>
      <c r="D44">
        <v>0</v>
      </c>
      <c r="E44">
        <v>1</v>
      </c>
      <c r="F44">
        <v>5</v>
      </c>
      <c r="G44" t="b">
        <v>0</v>
      </c>
      <c r="H44">
        <v>1</v>
      </c>
      <c r="I44">
        <v>1</v>
      </c>
      <c r="J44">
        <v>0.16</v>
      </c>
      <c r="K44">
        <v>51</v>
      </c>
      <c r="L44">
        <v>0.13639999999999999</v>
      </c>
      <c r="M44">
        <v>0.47</v>
      </c>
      <c r="N44">
        <v>0.28360000000000002</v>
      </c>
      <c r="O44">
        <v>0</v>
      </c>
      <c r="P44">
        <v>3</v>
      </c>
      <c r="Q44">
        <v>3</v>
      </c>
    </row>
    <row r="45" spans="1:17" x14ac:dyDescent="0.3">
      <c r="A45">
        <v>52</v>
      </c>
      <c r="B45" s="4">
        <v>40546</v>
      </c>
      <c r="C45">
        <v>1</v>
      </c>
      <c r="D45">
        <v>0</v>
      </c>
      <c r="E45">
        <v>1</v>
      </c>
      <c r="F45">
        <v>6</v>
      </c>
      <c r="G45" t="b">
        <v>0</v>
      </c>
      <c r="H45">
        <v>1</v>
      </c>
      <c r="I45">
        <v>1</v>
      </c>
      <c r="J45">
        <v>0.14000000000000001</v>
      </c>
      <c r="K45">
        <v>52</v>
      </c>
      <c r="L45">
        <v>0.1061</v>
      </c>
      <c r="M45">
        <v>0.5</v>
      </c>
      <c r="N45">
        <v>0.3881</v>
      </c>
      <c r="O45">
        <v>0</v>
      </c>
      <c r="P45">
        <v>30</v>
      </c>
      <c r="Q45">
        <v>30</v>
      </c>
    </row>
    <row r="46" spans="1:17" x14ac:dyDescent="0.3">
      <c r="A46">
        <v>53</v>
      </c>
      <c r="B46" s="4">
        <v>40546</v>
      </c>
      <c r="C46">
        <v>1</v>
      </c>
      <c r="D46">
        <v>0</v>
      </c>
      <c r="E46">
        <v>1</v>
      </c>
      <c r="F46">
        <v>7</v>
      </c>
      <c r="G46" t="b">
        <v>0</v>
      </c>
      <c r="H46">
        <v>1</v>
      </c>
      <c r="I46">
        <v>1</v>
      </c>
      <c r="J46">
        <v>0.14000000000000001</v>
      </c>
      <c r="K46">
        <v>53</v>
      </c>
      <c r="L46">
        <v>0.13639999999999999</v>
      </c>
      <c r="M46">
        <v>0.5</v>
      </c>
      <c r="N46">
        <v>0.19400000000000001</v>
      </c>
      <c r="O46">
        <v>1</v>
      </c>
      <c r="P46">
        <v>63</v>
      </c>
      <c r="Q46">
        <v>64</v>
      </c>
    </row>
    <row r="47" spans="1:17" x14ac:dyDescent="0.3">
      <c r="A47">
        <v>54</v>
      </c>
      <c r="B47" s="4">
        <v>40546</v>
      </c>
      <c r="C47">
        <v>1</v>
      </c>
      <c r="D47">
        <v>0</v>
      </c>
      <c r="E47">
        <v>1</v>
      </c>
      <c r="F47">
        <v>8</v>
      </c>
      <c r="G47" t="b">
        <v>0</v>
      </c>
      <c r="H47">
        <v>1</v>
      </c>
      <c r="I47">
        <v>1</v>
      </c>
      <c r="J47">
        <v>0.14000000000000001</v>
      </c>
      <c r="K47">
        <v>54</v>
      </c>
      <c r="L47">
        <v>0.1212</v>
      </c>
      <c r="M47">
        <v>0.5</v>
      </c>
      <c r="N47">
        <v>0.28360000000000002</v>
      </c>
      <c r="O47">
        <v>1</v>
      </c>
      <c r="P47">
        <v>153</v>
      </c>
      <c r="Q47">
        <v>154</v>
      </c>
    </row>
    <row r="48" spans="1:17" x14ac:dyDescent="0.3">
      <c r="A48">
        <v>55</v>
      </c>
      <c r="B48" s="4">
        <v>40546</v>
      </c>
      <c r="C48">
        <v>1</v>
      </c>
      <c r="D48">
        <v>0</v>
      </c>
      <c r="E48">
        <v>1</v>
      </c>
      <c r="F48">
        <v>9</v>
      </c>
      <c r="G48" t="b">
        <v>0</v>
      </c>
      <c r="H48">
        <v>1</v>
      </c>
      <c r="I48">
        <v>1</v>
      </c>
      <c r="J48">
        <v>0.16</v>
      </c>
      <c r="K48">
        <v>55</v>
      </c>
      <c r="L48">
        <v>0.13639999999999999</v>
      </c>
      <c r="M48">
        <v>0.43</v>
      </c>
      <c r="N48">
        <v>0.3881</v>
      </c>
      <c r="O48">
        <v>7</v>
      </c>
      <c r="P48">
        <v>81</v>
      </c>
      <c r="Q48">
        <v>88</v>
      </c>
    </row>
    <row r="49" spans="1:17" x14ac:dyDescent="0.3">
      <c r="A49">
        <v>56</v>
      </c>
      <c r="B49" s="4">
        <v>40546</v>
      </c>
      <c r="C49">
        <v>1</v>
      </c>
      <c r="D49">
        <v>0</v>
      </c>
      <c r="E49">
        <v>1</v>
      </c>
      <c r="F49">
        <v>10</v>
      </c>
      <c r="G49" t="b">
        <v>0</v>
      </c>
      <c r="H49">
        <v>1</v>
      </c>
      <c r="I49">
        <v>1</v>
      </c>
      <c r="J49">
        <v>0.18</v>
      </c>
      <c r="K49">
        <v>56</v>
      </c>
      <c r="L49">
        <v>0.16669999999999999</v>
      </c>
      <c r="M49">
        <v>0.43</v>
      </c>
      <c r="N49">
        <v>0.25369999999999998</v>
      </c>
      <c r="O49">
        <v>11</v>
      </c>
      <c r="P49">
        <v>33</v>
      </c>
      <c r="Q49">
        <v>44</v>
      </c>
    </row>
    <row r="50" spans="1:17" x14ac:dyDescent="0.3">
      <c r="A50">
        <v>57</v>
      </c>
      <c r="B50" s="4">
        <v>40546</v>
      </c>
      <c r="C50">
        <v>1</v>
      </c>
      <c r="D50">
        <v>0</v>
      </c>
      <c r="E50">
        <v>1</v>
      </c>
      <c r="F50">
        <v>11</v>
      </c>
      <c r="G50" t="b">
        <v>0</v>
      </c>
      <c r="H50">
        <v>1</v>
      </c>
      <c r="I50">
        <v>1</v>
      </c>
      <c r="J50">
        <v>0.2</v>
      </c>
      <c r="K50">
        <v>57</v>
      </c>
      <c r="L50">
        <v>0.18179999999999999</v>
      </c>
      <c r="M50">
        <v>0.4</v>
      </c>
      <c r="N50">
        <v>0.32840000000000003</v>
      </c>
      <c r="O50">
        <v>10</v>
      </c>
      <c r="P50">
        <v>41</v>
      </c>
      <c r="Q50">
        <v>51</v>
      </c>
    </row>
    <row r="51" spans="1:17" x14ac:dyDescent="0.3">
      <c r="A51">
        <v>58</v>
      </c>
      <c r="B51" s="4">
        <v>40546</v>
      </c>
      <c r="C51">
        <v>1</v>
      </c>
      <c r="D51">
        <v>0</v>
      </c>
      <c r="E51">
        <v>1</v>
      </c>
      <c r="F51">
        <v>12</v>
      </c>
      <c r="G51" t="b">
        <v>0</v>
      </c>
      <c r="H51">
        <v>1</v>
      </c>
      <c r="I51">
        <v>1</v>
      </c>
      <c r="J51">
        <v>0.22</v>
      </c>
      <c r="K51">
        <v>58</v>
      </c>
      <c r="L51">
        <v>0.21210000000000001</v>
      </c>
      <c r="M51">
        <v>0.35</v>
      </c>
      <c r="N51">
        <v>0.29849999999999999</v>
      </c>
      <c r="O51">
        <v>13</v>
      </c>
      <c r="P51">
        <v>48</v>
      </c>
      <c r="Q51">
        <v>61</v>
      </c>
    </row>
    <row r="52" spans="1:17" x14ac:dyDescent="0.3">
      <c r="A52">
        <v>60</v>
      </c>
      <c r="B52" s="4">
        <v>40546</v>
      </c>
      <c r="C52">
        <v>1</v>
      </c>
      <c r="D52">
        <v>0</v>
      </c>
      <c r="E52">
        <v>1</v>
      </c>
      <c r="F52">
        <v>14</v>
      </c>
      <c r="G52" t="b">
        <v>0</v>
      </c>
      <c r="H52">
        <v>1</v>
      </c>
      <c r="I52">
        <v>1</v>
      </c>
      <c r="J52">
        <v>0.26</v>
      </c>
      <c r="K52">
        <v>60</v>
      </c>
      <c r="L52">
        <v>0.2424</v>
      </c>
      <c r="M52">
        <v>0.3</v>
      </c>
      <c r="N52">
        <v>0.28360000000000002</v>
      </c>
      <c r="O52">
        <v>11</v>
      </c>
      <c r="P52">
        <v>66</v>
      </c>
      <c r="Q52">
        <v>77</v>
      </c>
    </row>
    <row r="53" spans="1:17" x14ac:dyDescent="0.3">
      <c r="A53">
        <v>61</v>
      </c>
      <c r="B53" s="4">
        <v>40546</v>
      </c>
      <c r="C53">
        <v>1</v>
      </c>
      <c r="D53">
        <v>0</v>
      </c>
      <c r="E53">
        <v>1</v>
      </c>
      <c r="F53">
        <v>15</v>
      </c>
      <c r="G53" t="b">
        <v>0</v>
      </c>
      <c r="H53">
        <v>1</v>
      </c>
      <c r="I53">
        <v>1</v>
      </c>
      <c r="J53">
        <v>0.26</v>
      </c>
      <c r="K53">
        <v>61</v>
      </c>
      <c r="L53">
        <v>0.2424</v>
      </c>
      <c r="M53">
        <v>0.3</v>
      </c>
      <c r="N53">
        <v>0.25369999999999998</v>
      </c>
      <c r="O53">
        <v>14</v>
      </c>
      <c r="P53">
        <v>58</v>
      </c>
      <c r="Q53">
        <v>72</v>
      </c>
    </row>
    <row r="54" spans="1:17" x14ac:dyDescent="0.3">
      <c r="A54">
        <v>62</v>
      </c>
      <c r="B54" s="4">
        <v>40546</v>
      </c>
      <c r="C54">
        <v>1</v>
      </c>
      <c r="D54">
        <v>0</v>
      </c>
      <c r="E54">
        <v>1</v>
      </c>
      <c r="F54">
        <v>16</v>
      </c>
      <c r="G54" t="b">
        <v>0</v>
      </c>
      <c r="H54">
        <v>1</v>
      </c>
      <c r="I54">
        <v>1</v>
      </c>
      <c r="J54">
        <v>0.26</v>
      </c>
      <c r="K54">
        <v>62</v>
      </c>
      <c r="L54">
        <v>0.2424</v>
      </c>
      <c r="M54">
        <v>0.3</v>
      </c>
      <c r="N54">
        <v>0.25369999999999998</v>
      </c>
      <c r="O54">
        <v>9</v>
      </c>
      <c r="P54">
        <v>67</v>
      </c>
      <c r="Q54">
        <v>76</v>
      </c>
    </row>
    <row r="55" spans="1:17" x14ac:dyDescent="0.3">
      <c r="A55">
        <v>63</v>
      </c>
      <c r="B55" s="4">
        <v>40546</v>
      </c>
      <c r="C55">
        <v>1</v>
      </c>
      <c r="D55">
        <v>0</v>
      </c>
      <c r="E55">
        <v>1</v>
      </c>
      <c r="F55">
        <v>17</v>
      </c>
      <c r="G55" t="b">
        <v>0</v>
      </c>
      <c r="H55">
        <v>1</v>
      </c>
      <c r="I55">
        <v>1</v>
      </c>
      <c r="J55">
        <v>0.24</v>
      </c>
      <c r="K55">
        <v>63</v>
      </c>
      <c r="L55">
        <v>0.2273</v>
      </c>
      <c r="M55">
        <v>0.3</v>
      </c>
      <c r="N55">
        <v>0.22389999999999999</v>
      </c>
      <c r="O55">
        <v>11</v>
      </c>
      <c r="P55">
        <v>146</v>
      </c>
      <c r="Q55">
        <v>157</v>
      </c>
    </row>
    <row r="56" spans="1:17" x14ac:dyDescent="0.3">
      <c r="A56">
        <v>64</v>
      </c>
      <c r="B56" s="4">
        <v>40546</v>
      </c>
      <c r="C56">
        <v>1</v>
      </c>
      <c r="D56">
        <v>0</v>
      </c>
      <c r="E56">
        <v>1</v>
      </c>
      <c r="F56">
        <v>18</v>
      </c>
      <c r="G56" t="b">
        <v>0</v>
      </c>
      <c r="H56">
        <v>1</v>
      </c>
      <c r="I56">
        <v>1</v>
      </c>
      <c r="J56">
        <v>0.24</v>
      </c>
      <c r="K56">
        <v>64</v>
      </c>
      <c r="L56">
        <v>0.2576</v>
      </c>
      <c r="M56">
        <v>0.32</v>
      </c>
      <c r="N56">
        <v>0.1045</v>
      </c>
      <c r="O56">
        <v>9</v>
      </c>
      <c r="P56">
        <v>148</v>
      </c>
      <c r="Q56">
        <v>157</v>
      </c>
    </row>
    <row r="57" spans="1:17" x14ac:dyDescent="0.3">
      <c r="A57">
        <v>65</v>
      </c>
      <c r="B57" s="4">
        <v>40546</v>
      </c>
      <c r="C57">
        <v>1</v>
      </c>
      <c r="D57">
        <v>0</v>
      </c>
      <c r="E57">
        <v>1</v>
      </c>
      <c r="F57">
        <v>19</v>
      </c>
      <c r="G57" t="b">
        <v>0</v>
      </c>
      <c r="H57">
        <v>1</v>
      </c>
      <c r="I57">
        <v>1</v>
      </c>
      <c r="J57">
        <v>0.2</v>
      </c>
      <c r="K57">
        <v>65</v>
      </c>
      <c r="L57">
        <v>0.2576</v>
      </c>
      <c r="M57">
        <v>0.47</v>
      </c>
      <c r="N57">
        <v>0</v>
      </c>
      <c r="O57">
        <v>8</v>
      </c>
      <c r="P57">
        <v>102</v>
      </c>
      <c r="Q57">
        <v>110</v>
      </c>
    </row>
    <row r="58" spans="1:17" x14ac:dyDescent="0.3">
      <c r="A58">
        <v>67</v>
      </c>
      <c r="B58" s="4">
        <v>40546</v>
      </c>
      <c r="C58">
        <v>1</v>
      </c>
      <c r="D58">
        <v>0</v>
      </c>
      <c r="E58">
        <v>1</v>
      </c>
      <c r="F58">
        <v>21</v>
      </c>
      <c r="G58" t="b">
        <v>0</v>
      </c>
      <c r="H58">
        <v>1</v>
      </c>
      <c r="I58">
        <v>1</v>
      </c>
      <c r="J58">
        <v>0.18</v>
      </c>
      <c r="K58">
        <v>67</v>
      </c>
      <c r="L58">
        <v>0.19700000000000001</v>
      </c>
      <c r="M58">
        <v>0.64</v>
      </c>
      <c r="N58">
        <v>0.1343</v>
      </c>
      <c r="O58">
        <v>3</v>
      </c>
      <c r="P58">
        <v>49</v>
      </c>
      <c r="Q58">
        <v>52</v>
      </c>
    </row>
    <row r="59" spans="1:17" x14ac:dyDescent="0.3">
      <c r="A59">
        <v>68</v>
      </c>
      <c r="B59" s="4">
        <v>40546</v>
      </c>
      <c r="C59">
        <v>1</v>
      </c>
      <c r="D59">
        <v>0</v>
      </c>
      <c r="E59">
        <v>1</v>
      </c>
      <c r="F59">
        <v>22</v>
      </c>
      <c r="G59" t="b">
        <v>0</v>
      </c>
      <c r="H59">
        <v>1</v>
      </c>
      <c r="I59">
        <v>1</v>
      </c>
      <c r="J59">
        <v>0.14000000000000001</v>
      </c>
      <c r="K59">
        <v>68</v>
      </c>
      <c r="L59">
        <v>0.1515</v>
      </c>
      <c r="M59">
        <v>0.69</v>
      </c>
      <c r="N59">
        <v>0.1343</v>
      </c>
      <c r="O59">
        <v>0</v>
      </c>
      <c r="P59">
        <v>20</v>
      </c>
      <c r="Q59">
        <v>20</v>
      </c>
    </row>
    <row r="60" spans="1:17" x14ac:dyDescent="0.3">
      <c r="A60">
        <v>69</v>
      </c>
      <c r="B60" s="4">
        <v>40546</v>
      </c>
      <c r="C60">
        <v>1</v>
      </c>
      <c r="D60">
        <v>0</v>
      </c>
      <c r="E60">
        <v>1</v>
      </c>
      <c r="F60">
        <v>23</v>
      </c>
      <c r="G60" t="b">
        <v>0</v>
      </c>
      <c r="H60">
        <v>1</v>
      </c>
      <c r="I60">
        <v>1</v>
      </c>
      <c r="J60">
        <v>0.18</v>
      </c>
      <c r="K60">
        <v>69</v>
      </c>
      <c r="L60">
        <v>0.21210000000000001</v>
      </c>
      <c r="M60">
        <v>0.55000000000000004</v>
      </c>
      <c r="N60">
        <v>0.1045</v>
      </c>
      <c r="O60">
        <v>1</v>
      </c>
      <c r="P60">
        <v>11</v>
      </c>
      <c r="Q60">
        <v>12</v>
      </c>
    </row>
    <row r="61" spans="1:17" x14ac:dyDescent="0.3">
      <c r="A61">
        <v>71</v>
      </c>
      <c r="B61" s="4">
        <v>40547</v>
      </c>
      <c r="C61">
        <v>1</v>
      </c>
      <c r="D61">
        <v>0</v>
      </c>
      <c r="E61">
        <v>1</v>
      </c>
      <c r="F61">
        <v>1</v>
      </c>
      <c r="G61" t="b">
        <v>0</v>
      </c>
      <c r="H61">
        <v>2</v>
      </c>
      <c r="I61">
        <v>1</v>
      </c>
      <c r="J61">
        <v>0.16</v>
      </c>
      <c r="K61">
        <v>71</v>
      </c>
      <c r="L61">
        <v>0.18179999999999999</v>
      </c>
      <c r="M61">
        <v>0.59</v>
      </c>
      <c r="N61">
        <v>0.1045</v>
      </c>
      <c r="O61">
        <v>0</v>
      </c>
      <c r="P61">
        <v>2</v>
      </c>
      <c r="Q61">
        <v>2</v>
      </c>
    </row>
    <row r="62" spans="1:17" x14ac:dyDescent="0.3">
      <c r="A62">
        <v>72</v>
      </c>
      <c r="B62" s="4">
        <v>40547</v>
      </c>
      <c r="C62">
        <v>1</v>
      </c>
      <c r="D62">
        <v>0</v>
      </c>
      <c r="E62">
        <v>1</v>
      </c>
      <c r="F62">
        <v>2</v>
      </c>
      <c r="G62" t="b">
        <v>0</v>
      </c>
      <c r="H62">
        <v>2</v>
      </c>
      <c r="I62">
        <v>1</v>
      </c>
      <c r="J62">
        <v>0.14000000000000001</v>
      </c>
      <c r="K62">
        <v>72</v>
      </c>
      <c r="L62">
        <v>0.1515</v>
      </c>
      <c r="M62">
        <v>0.63</v>
      </c>
      <c r="N62">
        <v>0.1343</v>
      </c>
      <c r="O62">
        <v>0</v>
      </c>
      <c r="P62">
        <v>1</v>
      </c>
      <c r="Q62">
        <v>1</v>
      </c>
    </row>
    <row r="63" spans="1:17" x14ac:dyDescent="0.3">
      <c r="A63">
        <v>73</v>
      </c>
      <c r="B63" s="4">
        <v>40547</v>
      </c>
      <c r="C63">
        <v>1</v>
      </c>
      <c r="D63">
        <v>0</v>
      </c>
      <c r="E63">
        <v>1</v>
      </c>
      <c r="F63">
        <v>4</v>
      </c>
      <c r="G63" t="b">
        <v>0</v>
      </c>
      <c r="H63">
        <v>2</v>
      </c>
      <c r="I63">
        <v>1</v>
      </c>
      <c r="J63">
        <v>0.14000000000000001</v>
      </c>
      <c r="K63">
        <v>73</v>
      </c>
      <c r="L63">
        <v>0.18179999999999999</v>
      </c>
      <c r="M63">
        <v>0.63</v>
      </c>
      <c r="N63">
        <v>8.9599999999999999E-2</v>
      </c>
      <c r="O63">
        <v>0</v>
      </c>
      <c r="P63">
        <v>2</v>
      </c>
      <c r="Q63">
        <v>2</v>
      </c>
    </row>
    <row r="64" spans="1:17" x14ac:dyDescent="0.3">
      <c r="A64">
        <v>74</v>
      </c>
      <c r="B64" s="4">
        <v>40547</v>
      </c>
      <c r="C64">
        <v>1</v>
      </c>
      <c r="D64">
        <v>0</v>
      </c>
      <c r="E64">
        <v>1</v>
      </c>
      <c r="F64">
        <v>5</v>
      </c>
      <c r="G64" t="b">
        <v>0</v>
      </c>
      <c r="H64">
        <v>2</v>
      </c>
      <c r="I64">
        <v>1</v>
      </c>
      <c r="J64">
        <v>0.12</v>
      </c>
      <c r="K64">
        <v>74</v>
      </c>
      <c r="L64">
        <v>0.1515</v>
      </c>
      <c r="M64">
        <v>0.68</v>
      </c>
      <c r="N64">
        <v>0.1045</v>
      </c>
      <c r="O64">
        <v>0</v>
      </c>
      <c r="P64">
        <v>4</v>
      </c>
      <c r="Q64">
        <v>4</v>
      </c>
    </row>
    <row r="65" spans="1:17" x14ac:dyDescent="0.3">
      <c r="A65">
        <v>75</v>
      </c>
      <c r="B65" s="4">
        <v>40547</v>
      </c>
      <c r="C65">
        <v>1</v>
      </c>
      <c r="D65">
        <v>0</v>
      </c>
      <c r="E65">
        <v>1</v>
      </c>
      <c r="F65">
        <v>6</v>
      </c>
      <c r="G65" t="b">
        <v>0</v>
      </c>
      <c r="H65">
        <v>2</v>
      </c>
      <c r="I65">
        <v>1</v>
      </c>
      <c r="J65">
        <v>0.12</v>
      </c>
      <c r="K65">
        <v>75</v>
      </c>
      <c r="L65">
        <v>0.1515</v>
      </c>
      <c r="M65">
        <v>0.74</v>
      </c>
      <c r="N65">
        <v>0.1045</v>
      </c>
      <c r="O65">
        <v>0</v>
      </c>
      <c r="P65">
        <v>36</v>
      </c>
      <c r="Q65">
        <v>36</v>
      </c>
    </row>
    <row r="66" spans="1:17" x14ac:dyDescent="0.3">
      <c r="A66">
        <v>76</v>
      </c>
      <c r="B66" s="4">
        <v>40547</v>
      </c>
      <c r="C66">
        <v>1</v>
      </c>
      <c r="D66">
        <v>0</v>
      </c>
      <c r="E66">
        <v>1</v>
      </c>
      <c r="F66">
        <v>7</v>
      </c>
      <c r="G66" t="b">
        <v>0</v>
      </c>
      <c r="H66">
        <v>2</v>
      </c>
      <c r="I66">
        <v>1</v>
      </c>
      <c r="J66">
        <v>0.12</v>
      </c>
      <c r="K66">
        <v>76</v>
      </c>
      <c r="L66">
        <v>0.1515</v>
      </c>
      <c r="M66">
        <v>0.74</v>
      </c>
      <c r="N66">
        <v>0.1343</v>
      </c>
      <c r="O66">
        <v>2</v>
      </c>
      <c r="P66">
        <v>92</v>
      </c>
      <c r="Q66">
        <v>94</v>
      </c>
    </row>
    <row r="67" spans="1:17" x14ac:dyDescent="0.3">
      <c r="A67">
        <v>77</v>
      </c>
      <c r="B67" s="4">
        <v>40547</v>
      </c>
      <c r="C67">
        <v>1</v>
      </c>
      <c r="D67">
        <v>0</v>
      </c>
      <c r="E67">
        <v>1</v>
      </c>
      <c r="F67">
        <v>8</v>
      </c>
      <c r="G67" t="b">
        <v>0</v>
      </c>
      <c r="H67">
        <v>2</v>
      </c>
      <c r="I67">
        <v>1</v>
      </c>
      <c r="J67">
        <v>0.14000000000000001</v>
      </c>
      <c r="K67">
        <v>77</v>
      </c>
      <c r="L67">
        <v>0.1515</v>
      </c>
      <c r="M67">
        <v>0.69</v>
      </c>
      <c r="N67">
        <v>0.16420000000000001</v>
      </c>
      <c r="O67">
        <v>2</v>
      </c>
      <c r="P67">
        <v>177</v>
      </c>
      <c r="Q67">
        <v>179</v>
      </c>
    </row>
    <row r="68" spans="1:17" x14ac:dyDescent="0.3">
      <c r="A68">
        <v>78</v>
      </c>
      <c r="B68" s="4">
        <v>40547</v>
      </c>
      <c r="C68">
        <v>1</v>
      </c>
      <c r="D68">
        <v>0</v>
      </c>
      <c r="E68">
        <v>1</v>
      </c>
      <c r="F68">
        <v>9</v>
      </c>
      <c r="G68" t="b">
        <v>0</v>
      </c>
      <c r="H68">
        <v>2</v>
      </c>
      <c r="I68">
        <v>1</v>
      </c>
      <c r="J68">
        <v>0.16</v>
      </c>
      <c r="K68">
        <v>78</v>
      </c>
      <c r="L68">
        <v>0.1515</v>
      </c>
      <c r="M68">
        <v>0.64</v>
      </c>
      <c r="N68">
        <v>0.22389999999999999</v>
      </c>
      <c r="O68">
        <v>2</v>
      </c>
      <c r="P68">
        <v>98</v>
      </c>
      <c r="Q68">
        <v>100</v>
      </c>
    </row>
    <row r="69" spans="1:17" x14ac:dyDescent="0.3">
      <c r="A69">
        <v>79</v>
      </c>
      <c r="B69" s="4">
        <v>40547</v>
      </c>
      <c r="C69">
        <v>1</v>
      </c>
      <c r="D69">
        <v>0</v>
      </c>
      <c r="E69">
        <v>1</v>
      </c>
      <c r="F69">
        <v>10</v>
      </c>
      <c r="G69" t="b">
        <v>0</v>
      </c>
      <c r="H69">
        <v>2</v>
      </c>
      <c r="I69">
        <v>2</v>
      </c>
      <c r="J69">
        <v>0.16</v>
      </c>
      <c r="K69">
        <v>79</v>
      </c>
      <c r="L69">
        <v>0.13639999999999999</v>
      </c>
      <c r="M69">
        <v>0.69</v>
      </c>
      <c r="N69">
        <v>0.32840000000000003</v>
      </c>
      <c r="O69">
        <v>5</v>
      </c>
      <c r="P69">
        <v>37</v>
      </c>
      <c r="Q69">
        <v>42</v>
      </c>
    </row>
    <row r="70" spans="1:17" x14ac:dyDescent="0.3">
      <c r="A70">
        <v>80</v>
      </c>
      <c r="B70" s="4">
        <v>40547</v>
      </c>
      <c r="C70">
        <v>1</v>
      </c>
      <c r="D70">
        <v>0</v>
      </c>
      <c r="E70">
        <v>1</v>
      </c>
      <c r="F70">
        <v>11</v>
      </c>
      <c r="G70" t="b">
        <v>0</v>
      </c>
      <c r="H70">
        <v>2</v>
      </c>
      <c r="I70">
        <v>1</v>
      </c>
      <c r="J70">
        <v>0.22</v>
      </c>
      <c r="K70">
        <v>80</v>
      </c>
      <c r="L70">
        <v>0.21210000000000001</v>
      </c>
      <c r="M70">
        <v>0.51</v>
      </c>
      <c r="N70">
        <v>0.29849999999999999</v>
      </c>
      <c r="O70">
        <v>7</v>
      </c>
      <c r="P70">
        <v>50</v>
      </c>
      <c r="Q70">
        <v>57</v>
      </c>
    </row>
    <row r="71" spans="1:17" x14ac:dyDescent="0.3">
      <c r="A71">
        <v>81</v>
      </c>
      <c r="B71" s="4">
        <v>40547</v>
      </c>
      <c r="C71">
        <v>1</v>
      </c>
      <c r="D71">
        <v>0</v>
      </c>
      <c r="E71">
        <v>1</v>
      </c>
      <c r="F71">
        <v>12</v>
      </c>
      <c r="G71" t="b">
        <v>0</v>
      </c>
      <c r="H71">
        <v>2</v>
      </c>
      <c r="I71">
        <v>1</v>
      </c>
      <c r="J71">
        <v>0.22</v>
      </c>
      <c r="K71">
        <v>81</v>
      </c>
      <c r="L71">
        <v>0.2273</v>
      </c>
      <c r="M71">
        <v>0.51</v>
      </c>
      <c r="N71">
        <v>0.16420000000000001</v>
      </c>
      <c r="O71">
        <v>12</v>
      </c>
      <c r="P71">
        <v>66</v>
      </c>
      <c r="Q71">
        <v>78</v>
      </c>
    </row>
    <row r="72" spans="1:17" x14ac:dyDescent="0.3">
      <c r="A72">
        <v>82</v>
      </c>
      <c r="B72" s="4">
        <v>40547</v>
      </c>
      <c r="C72">
        <v>1</v>
      </c>
      <c r="D72">
        <v>0</v>
      </c>
      <c r="E72">
        <v>1</v>
      </c>
      <c r="F72">
        <v>13</v>
      </c>
      <c r="G72" t="b">
        <v>0</v>
      </c>
      <c r="H72">
        <v>2</v>
      </c>
      <c r="I72">
        <v>1</v>
      </c>
      <c r="J72">
        <v>0.24</v>
      </c>
      <c r="K72">
        <v>82</v>
      </c>
      <c r="L72">
        <v>0.2273</v>
      </c>
      <c r="M72">
        <v>0.56000000000000005</v>
      </c>
      <c r="N72">
        <v>0.19400000000000001</v>
      </c>
      <c r="O72">
        <v>18</v>
      </c>
      <c r="P72">
        <v>79</v>
      </c>
      <c r="Q72">
        <v>97</v>
      </c>
    </row>
    <row r="73" spans="1:17" x14ac:dyDescent="0.3">
      <c r="A73">
        <v>83</v>
      </c>
      <c r="B73" s="4">
        <v>40547</v>
      </c>
      <c r="C73">
        <v>1</v>
      </c>
      <c r="D73">
        <v>0</v>
      </c>
      <c r="E73">
        <v>1</v>
      </c>
      <c r="F73">
        <v>14</v>
      </c>
      <c r="G73" t="b">
        <v>0</v>
      </c>
      <c r="H73">
        <v>2</v>
      </c>
      <c r="I73">
        <v>1</v>
      </c>
      <c r="J73">
        <v>0.26</v>
      </c>
      <c r="K73">
        <v>83</v>
      </c>
      <c r="L73">
        <v>0.2576</v>
      </c>
      <c r="M73">
        <v>0.52</v>
      </c>
      <c r="N73">
        <v>0.22389999999999999</v>
      </c>
      <c r="O73">
        <v>9</v>
      </c>
      <c r="P73">
        <v>54</v>
      </c>
      <c r="Q73">
        <v>63</v>
      </c>
    </row>
    <row r="74" spans="1:17" x14ac:dyDescent="0.3">
      <c r="A74">
        <v>84</v>
      </c>
      <c r="B74" s="4">
        <v>40547</v>
      </c>
      <c r="C74">
        <v>1</v>
      </c>
      <c r="D74">
        <v>0</v>
      </c>
      <c r="E74">
        <v>1</v>
      </c>
      <c r="F74">
        <v>15</v>
      </c>
      <c r="G74" t="b">
        <v>0</v>
      </c>
      <c r="H74">
        <v>2</v>
      </c>
      <c r="I74">
        <v>1</v>
      </c>
      <c r="J74">
        <v>0.28000000000000003</v>
      </c>
      <c r="K74">
        <v>84</v>
      </c>
      <c r="L74">
        <v>0.2727</v>
      </c>
      <c r="M74">
        <v>0.52</v>
      </c>
      <c r="N74">
        <v>0.25369999999999998</v>
      </c>
      <c r="O74">
        <v>17</v>
      </c>
      <c r="P74">
        <v>48</v>
      </c>
      <c r="Q74">
        <v>65</v>
      </c>
    </row>
    <row r="75" spans="1:17" x14ac:dyDescent="0.3">
      <c r="A75">
        <v>85</v>
      </c>
      <c r="B75" s="4">
        <v>40547</v>
      </c>
      <c r="C75">
        <v>1</v>
      </c>
      <c r="D75">
        <v>0</v>
      </c>
      <c r="E75">
        <v>1</v>
      </c>
      <c r="F75">
        <v>16</v>
      </c>
      <c r="G75" t="b">
        <v>0</v>
      </c>
      <c r="H75">
        <v>2</v>
      </c>
      <c r="I75">
        <v>1</v>
      </c>
      <c r="J75">
        <v>0.3</v>
      </c>
      <c r="K75">
        <v>85</v>
      </c>
      <c r="L75">
        <v>0.28789999999999999</v>
      </c>
      <c r="M75">
        <v>0.49</v>
      </c>
      <c r="N75">
        <v>0.25369999999999998</v>
      </c>
      <c r="O75">
        <v>15</v>
      </c>
      <c r="P75">
        <v>68</v>
      </c>
      <c r="Q75">
        <v>83</v>
      </c>
    </row>
    <row r="76" spans="1:17" x14ac:dyDescent="0.3">
      <c r="A76">
        <v>86</v>
      </c>
      <c r="B76" s="4">
        <v>40547</v>
      </c>
      <c r="C76">
        <v>1</v>
      </c>
      <c r="D76">
        <v>0</v>
      </c>
      <c r="E76">
        <v>1</v>
      </c>
      <c r="F76">
        <v>17</v>
      </c>
      <c r="G76" t="b">
        <v>0</v>
      </c>
      <c r="H76">
        <v>2</v>
      </c>
      <c r="I76">
        <v>1</v>
      </c>
      <c r="J76">
        <v>0.28000000000000003</v>
      </c>
      <c r="K76">
        <v>86</v>
      </c>
      <c r="L76">
        <v>0.2727</v>
      </c>
      <c r="M76">
        <v>0.48</v>
      </c>
      <c r="N76">
        <v>0.22389999999999999</v>
      </c>
      <c r="O76">
        <v>10</v>
      </c>
      <c r="P76">
        <v>202</v>
      </c>
      <c r="Q76">
        <v>212</v>
      </c>
    </row>
    <row r="77" spans="1:17" x14ac:dyDescent="0.3">
      <c r="A77">
        <v>87</v>
      </c>
      <c r="B77" s="4">
        <v>40547</v>
      </c>
      <c r="C77">
        <v>1</v>
      </c>
      <c r="D77">
        <v>0</v>
      </c>
      <c r="E77">
        <v>1</v>
      </c>
      <c r="F77">
        <v>18</v>
      </c>
      <c r="G77" t="b">
        <v>0</v>
      </c>
      <c r="H77">
        <v>2</v>
      </c>
      <c r="I77">
        <v>1</v>
      </c>
      <c r="J77">
        <v>0.26</v>
      </c>
      <c r="K77">
        <v>87</v>
      </c>
      <c r="L77">
        <v>0.2576</v>
      </c>
      <c r="M77">
        <v>0.48</v>
      </c>
      <c r="N77">
        <v>0.19400000000000001</v>
      </c>
      <c r="O77">
        <v>3</v>
      </c>
      <c r="P77">
        <v>179</v>
      </c>
      <c r="Q77">
        <v>182</v>
      </c>
    </row>
    <row r="78" spans="1:17" x14ac:dyDescent="0.3">
      <c r="A78">
        <v>88</v>
      </c>
      <c r="B78" s="4">
        <v>40547</v>
      </c>
      <c r="C78">
        <v>1</v>
      </c>
      <c r="D78">
        <v>0</v>
      </c>
      <c r="E78">
        <v>1</v>
      </c>
      <c r="F78">
        <v>19</v>
      </c>
      <c r="G78" t="b">
        <v>0</v>
      </c>
      <c r="H78">
        <v>2</v>
      </c>
      <c r="I78">
        <v>1</v>
      </c>
      <c r="J78">
        <v>0.24</v>
      </c>
      <c r="K78">
        <v>88</v>
      </c>
      <c r="L78">
        <v>0.2576</v>
      </c>
      <c r="M78">
        <v>0.48</v>
      </c>
      <c r="N78">
        <v>0.1045</v>
      </c>
      <c r="O78">
        <v>2</v>
      </c>
      <c r="P78">
        <v>110</v>
      </c>
      <c r="Q78">
        <v>112</v>
      </c>
    </row>
    <row r="79" spans="1:17" x14ac:dyDescent="0.3">
      <c r="A79">
        <v>89</v>
      </c>
      <c r="B79" s="4">
        <v>40547</v>
      </c>
      <c r="C79">
        <v>1</v>
      </c>
      <c r="D79">
        <v>0</v>
      </c>
      <c r="E79">
        <v>1</v>
      </c>
      <c r="F79">
        <v>20</v>
      </c>
      <c r="G79" t="b">
        <v>0</v>
      </c>
      <c r="H79">
        <v>2</v>
      </c>
      <c r="I79">
        <v>1</v>
      </c>
      <c r="J79">
        <v>0.24</v>
      </c>
      <c r="K79">
        <v>89</v>
      </c>
      <c r="L79">
        <v>0.2576</v>
      </c>
      <c r="M79">
        <v>0.48</v>
      </c>
      <c r="N79">
        <v>0.1045</v>
      </c>
      <c r="O79">
        <v>1</v>
      </c>
      <c r="P79">
        <v>53</v>
      </c>
      <c r="Q79">
        <v>54</v>
      </c>
    </row>
    <row r="80" spans="1:17" x14ac:dyDescent="0.3">
      <c r="A80">
        <v>90</v>
      </c>
      <c r="B80" s="4">
        <v>40547</v>
      </c>
      <c r="C80">
        <v>1</v>
      </c>
      <c r="D80">
        <v>0</v>
      </c>
      <c r="E80">
        <v>1</v>
      </c>
      <c r="F80">
        <v>21</v>
      </c>
      <c r="G80" t="b">
        <v>0</v>
      </c>
      <c r="H80">
        <v>2</v>
      </c>
      <c r="I80">
        <v>1</v>
      </c>
      <c r="J80">
        <v>0.22</v>
      </c>
      <c r="K80">
        <v>90</v>
      </c>
      <c r="L80">
        <v>0.2727</v>
      </c>
      <c r="M80">
        <v>0.64</v>
      </c>
      <c r="N80">
        <v>0</v>
      </c>
      <c r="O80">
        <v>0</v>
      </c>
      <c r="P80">
        <v>48</v>
      </c>
      <c r="Q80">
        <v>48</v>
      </c>
    </row>
    <row r="81" spans="1:17" x14ac:dyDescent="0.3">
      <c r="A81">
        <v>91</v>
      </c>
      <c r="B81" s="4">
        <v>40547</v>
      </c>
      <c r="C81">
        <v>1</v>
      </c>
      <c r="D81">
        <v>0</v>
      </c>
      <c r="E81">
        <v>1</v>
      </c>
      <c r="F81">
        <v>22</v>
      </c>
      <c r="G81" t="b">
        <v>0</v>
      </c>
      <c r="H81">
        <v>2</v>
      </c>
      <c r="I81">
        <v>1</v>
      </c>
      <c r="J81">
        <v>0.22</v>
      </c>
      <c r="K81">
        <v>91</v>
      </c>
      <c r="L81">
        <v>0.2576</v>
      </c>
      <c r="M81">
        <v>0.64</v>
      </c>
      <c r="N81">
        <v>8.9599999999999999E-2</v>
      </c>
      <c r="O81">
        <v>1</v>
      </c>
      <c r="P81">
        <v>34</v>
      </c>
      <c r="Q81">
        <v>35</v>
      </c>
    </row>
    <row r="82" spans="1:17" x14ac:dyDescent="0.3">
      <c r="A82">
        <v>92</v>
      </c>
      <c r="B82" s="4">
        <v>40547</v>
      </c>
      <c r="C82">
        <v>1</v>
      </c>
      <c r="D82">
        <v>0</v>
      </c>
      <c r="E82">
        <v>1</v>
      </c>
      <c r="F82">
        <v>23</v>
      </c>
      <c r="G82" t="b">
        <v>0</v>
      </c>
      <c r="H82">
        <v>2</v>
      </c>
      <c r="I82">
        <v>1</v>
      </c>
      <c r="J82">
        <v>0.2</v>
      </c>
      <c r="K82">
        <v>92</v>
      </c>
      <c r="L82">
        <v>0.2273</v>
      </c>
      <c r="M82">
        <v>0.69</v>
      </c>
      <c r="N82">
        <v>8.9599999999999999E-2</v>
      </c>
      <c r="O82">
        <v>2</v>
      </c>
      <c r="P82">
        <v>9</v>
      </c>
      <c r="Q82">
        <v>11</v>
      </c>
    </row>
    <row r="83" spans="1:17" x14ac:dyDescent="0.3">
      <c r="A83">
        <v>93</v>
      </c>
      <c r="B83" s="4">
        <v>40548</v>
      </c>
      <c r="C83">
        <v>1</v>
      </c>
      <c r="D83">
        <v>0</v>
      </c>
      <c r="E83">
        <v>1</v>
      </c>
      <c r="F83">
        <v>0</v>
      </c>
      <c r="G83" t="b">
        <v>0</v>
      </c>
      <c r="H83">
        <v>3</v>
      </c>
      <c r="I83">
        <v>1</v>
      </c>
      <c r="J83">
        <v>0.2</v>
      </c>
      <c r="K83">
        <v>93</v>
      </c>
      <c r="L83">
        <v>0.2576</v>
      </c>
      <c r="M83">
        <v>0.64</v>
      </c>
      <c r="N83">
        <v>0</v>
      </c>
      <c r="O83">
        <v>0</v>
      </c>
      <c r="P83">
        <v>6</v>
      </c>
      <c r="Q83">
        <v>6</v>
      </c>
    </row>
    <row r="84" spans="1:17" x14ac:dyDescent="0.3">
      <c r="A84">
        <v>94</v>
      </c>
      <c r="B84" s="4">
        <v>40548</v>
      </c>
      <c r="C84">
        <v>1</v>
      </c>
      <c r="D84">
        <v>0</v>
      </c>
      <c r="E84">
        <v>1</v>
      </c>
      <c r="F84">
        <v>1</v>
      </c>
      <c r="G84" t="b">
        <v>0</v>
      </c>
      <c r="H84">
        <v>3</v>
      </c>
      <c r="I84">
        <v>1</v>
      </c>
      <c r="J84">
        <v>0.16</v>
      </c>
      <c r="K84">
        <v>94</v>
      </c>
      <c r="L84">
        <v>0.19700000000000001</v>
      </c>
      <c r="M84">
        <v>0.74</v>
      </c>
      <c r="N84">
        <v>8.9599999999999999E-2</v>
      </c>
      <c r="O84">
        <v>0</v>
      </c>
      <c r="P84">
        <v>6</v>
      </c>
      <c r="Q84">
        <v>6</v>
      </c>
    </row>
    <row r="85" spans="1:17" x14ac:dyDescent="0.3">
      <c r="A85">
        <v>95</v>
      </c>
      <c r="B85" s="4">
        <v>40548</v>
      </c>
      <c r="C85">
        <v>1</v>
      </c>
      <c r="D85">
        <v>0</v>
      </c>
      <c r="E85">
        <v>1</v>
      </c>
      <c r="F85">
        <v>2</v>
      </c>
      <c r="G85" t="b">
        <v>0</v>
      </c>
      <c r="H85">
        <v>3</v>
      </c>
      <c r="I85">
        <v>1</v>
      </c>
      <c r="J85">
        <v>0.16</v>
      </c>
      <c r="K85">
        <v>95</v>
      </c>
      <c r="L85">
        <v>0.19700000000000001</v>
      </c>
      <c r="M85">
        <v>0.74</v>
      </c>
      <c r="N85">
        <v>8.9599999999999999E-2</v>
      </c>
      <c r="O85">
        <v>0</v>
      </c>
      <c r="P85">
        <v>2</v>
      </c>
      <c r="Q85">
        <v>2</v>
      </c>
    </row>
    <row r="86" spans="1:17" x14ac:dyDescent="0.3">
      <c r="A86">
        <v>96</v>
      </c>
      <c r="B86" s="4">
        <v>40548</v>
      </c>
      <c r="C86">
        <v>1</v>
      </c>
      <c r="D86">
        <v>0</v>
      </c>
      <c r="E86">
        <v>1</v>
      </c>
      <c r="F86">
        <v>4</v>
      </c>
      <c r="G86" t="b">
        <v>0</v>
      </c>
      <c r="H86">
        <v>3</v>
      </c>
      <c r="I86">
        <v>1</v>
      </c>
      <c r="J86">
        <v>0.24</v>
      </c>
      <c r="K86">
        <v>96</v>
      </c>
      <c r="L86">
        <v>0.2273</v>
      </c>
      <c r="M86">
        <v>0.48</v>
      </c>
      <c r="N86">
        <v>0.22389999999999999</v>
      </c>
      <c r="O86">
        <v>0</v>
      </c>
      <c r="P86">
        <v>2</v>
      </c>
      <c r="Q86">
        <v>2</v>
      </c>
    </row>
    <row r="87" spans="1:17" x14ac:dyDescent="0.3">
      <c r="A87">
        <v>97</v>
      </c>
      <c r="B87" s="4">
        <v>40548</v>
      </c>
      <c r="C87">
        <v>1</v>
      </c>
      <c r="D87">
        <v>0</v>
      </c>
      <c r="E87">
        <v>1</v>
      </c>
      <c r="F87">
        <v>5</v>
      </c>
      <c r="G87" t="b">
        <v>0</v>
      </c>
      <c r="H87">
        <v>3</v>
      </c>
      <c r="I87">
        <v>1</v>
      </c>
      <c r="J87">
        <v>0.22</v>
      </c>
      <c r="K87">
        <v>97</v>
      </c>
      <c r="L87">
        <v>0.2273</v>
      </c>
      <c r="M87">
        <v>0.47</v>
      </c>
      <c r="N87">
        <v>0.16420000000000001</v>
      </c>
      <c r="O87">
        <v>0</v>
      </c>
      <c r="P87">
        <v>3</v>
      </c>
      <c r="Q87">
        <v>3</v>
      </c>
    </row>
    <row r="88" spans="1:17" x14ac:dyDescent="0.3">
      <c r="A88">
        <v>98</v>
      </c>
      <c r="B88" s="4">
        <v>40548</v>
      </c>
      <c r="C88">
        <v>1</v>
      </c>
      <c r="D88">
        <v>0</v>
      </c>
      <c r="E88">
        <v>1</v>
      </c>
      <c r="F88">
        <v>6</v>
      </c>
      <c r="G88" t="b">
        <v>0</v>
      </c>
      <c r="H88">
        <v>3</v>
      </c>
      <c r="I88">
        <v>1</v>
      </c>
      <c r="J88">
        <v>0.2</v>
      </c>
      <c r="K88">
        <v>98</v>
      </c>
      <c r="L88">
        <v>0.19700000000000001</v>
      </c>
      <c r="M88">
        <v>0.47</v>
      </c>
      <c r="N88">
        <v>0.22389999999999999</v>
      </c>
      <c r="O88">
        <v>0</v>
      </c>
      <c r="P88">
        <v>33</v>
      </c>
      <c r="Q88">
        <v>33</v>
      </c>
    </row>
    <row r="89" spans="1:17" x14ac:dyDescent="0.3">
      <c r="A89">
        <v>99</v>
      </c>
      <c r="B89" s="4">
        <v>40548</v>
      </c>
      <c r="C89">
        <v>1</v>
      </c>
      <c r="D89">
        <v>0</v>
      </c>
      <c r="E89">
        <v>1</v>
      </c>
      <c r="F89">
        <v>7</v>
      </c>
      <c r="G89" t="b">
        <v>0</v>
      </c>
      <c r="H89">
        <v>3</v>
      </c>
      <c r="I89">
        <v>1</v>
      </c>
      <c r="J89">
        <v>0.18</v>
      </c>
      <c r="K89">
        <v>99</v>
      </c>
      <c r="L89">
        <v>0.18179999999999999</v>
      </c>
      <c r="M89">
        <v>0.43</v>
      </c>
      <c r="N89">
        <v>0.19400000000000001</v>
      </c>
      <c r="O89">
        <v>1</v>
      </c>
      <c r="P89">
        <v>87</v>
      </c>
      <c r="Q89">
        <v>88</v>
      </c>
    </row>
    <row r="90" spans="1:17" x14ac:dyDescent="0.3">
      <c r="A90">
        <v>100</v>
      </c>
      <c r="B90" s="4">
        <v>40548</v>
      </c>
      <c r="C90">
        <v>1</v>
      </c>
      <c r="D90">
        <v>0</v>
      </c>
      <c r="E90">
        <v>1</v>
      </c>
      <c r="F90">
        <v>8</v>
      </c>
      <c r="G90" t="b">
        <v>0</v>
      </c>
      <c r="H90">
        <v>3</v>
      </c>
      <c r="I90">
        <v>1</v>
      </c>
      <c r="J90">
        <v>0.2</v>
      </c>
      <c r="K90">
        <v>100</v>
      </c>
      <c r="L90">
        <v>0.18179999999999999</v>
      </c>
      <c r="M90">
        <v>0.4</v>
      </c>
      <c r="N90">
        <v>0.29849999999999999</v>
      </c>
      <c r="O90">
        <v>3</v>
      </c>
      <c r="P90">
        <v>192</v>
      </c>
      <c r="Q90">
        <v>195</v>
      </c>
    </row>
    <row r="91" spans="1:17" x14ac:dyDescent="0.3">
      <c r="A91">
        <v>101</v>
      </c>
      <c r="B91" s="4">
        <v>40548</v>
      </c>
      <c r="C91">
        <v>1</v>
      </c>
      <c r="D91">
        <v>0</v>
      </c>
      <c r="E91">
        <v>1</v>
      </c>
      <c r="F91">
        <v>9</v>
      </c>
      <c r="G91" t="b">
        <v>0</v>
      </c>
      <c r="H91">
        <v>3</v>
      </c>
      <c r="I91">
        <v>1</v>
      </c>
      <c r="J91">
        <v>0.22</v>
      </c>
      <c r="K91">
        <v>101</v>
      </c>
      <c r="L91">
        <v>0.19700000000000001</v>
      </c>
      <c r="M91">
        <v>0.37</v>
      </c>
      <c r="N91">
        <v>0.32840000000000003</v>
      </c>
      <c r="O91">
        <v>6</v>
      </c>
      <c r="P91">
        <v>109</v>
      </c>
      <c r="Q91">
        <v>115</v>
      </c>
    </row>
    <row r="92" spans="1:17" x14ac:dyDescent="0.3">
      <c r="A92">
        <v>102</v>
      </c>
      <c r="B92" s="4">
        <v>40548</v>
      </c>
      <c r="C92">
        <v>1</v>
      </c>
      <c r="D92">
        <v>0</v>
      </c>
      <c r="E92">
        <v>1</v>
      </c>
      <c r="F92">
        <v>10</v>
      </c>
      <c r="G92" t="b">
        <v>0</v>
      </c>
      <c r="H92">
        <v>3</v>
      </c>
      <c r="I92">
        <v>1</v>
      </c>
      <c r="J92">
        <v>0.22</v>
      </c>
      <c r="K92">
        <v>102</v>
      </c>
      <c r="L92">
        <v>0.19700000000000001</v>
      </c>
      <c r="M92">
        <v>0.37</v>
      </c>
      <c r="N92">
        <v>0.32840000000000003</v>
      </c>
      <c r="O92">
        <v>4</v>
      </c>
      <c r="P92">
        <v>53</v>
      </c>
      <c r="Q92">
        <v>57</v>
      </c>
    </row>
    <row r="93" spans="1:17" x14ac:dyDescent="0.3">
      <c r="A93">
        <v>103</v>
      </c>
      <c r="B93" s="4">
        <v>40548</v>
      </c>
      <c r="C93">
        <v>1</v>
      </c>
      <c r="D93">
        <v>0</v>
      </c>
      <c r="E93">
        <v>1</v>
      </c>
      <c r="F93">
        <v>11</v>
      </c>
      <c r="G93" t="b">
        <v>0</v>
      </c>
      <c r="H93">
        <v>3</v>
      </c>
      <c r="I93">
        <v>1</v>
      </c>
      <c r="J93">
        <v>0.26</v>
      </c>
      <c r="K93">
        <v>103</v>
      </c>
      <c r="L93">
        <v>0.2273</v>
      </c>
      <c r="M93">
        <v>0.33</v>
      </c>
      <c r="N93">
        <v>0.32840000000000003</v>
      </c>
      <c r="O93">
        <v>12</v>
      </c>
      <c r="P93">
        <v>34</v>
      </c>
      <c r="Q93">
        <v>46</v>
      </c>
    </row>
    <row r="94" spans="1:17" x14ac:dyDescent="0.3">
      <c r="A94">
        <v>104</v>
      </c>
      <c r="B94" s="4">
        <v>40548</v>
      </c>
      <c r="C94">
        <v>1</v>
      </c>
      <c r="D94">
        <v>0</v>
      </c>
      <c r="E94">
        <v>1</v>
      </c>
      <c r="F94">
        <v>12</v>
      </c>
      <c r="G94" t="b">
        <v>0</v>
      </c>
      <c r="H94">
        <v>3</v>
      </c>
      <c r="I94">
        <v>1</v>
      </c>
      <c r="J94">
        <v>0.26</v>
      </c>
      <c r="K94">
        <v>104</v>
      </c>
      <c r="L94">
        <v>0.2273</v>
      </c>
      <c r="M94">
        <v>0.33</v>
      </c>
      <c r="N94">
        <v>0.32840000000000003</v>
      </c>
      <c r="O94">
        <v>5</v>
      </c>
      <c r="P94">
        <v>74</v>
      </c>
      <c r="Q94">
        <v>79</v>
      </c>
    </row>
    <row r="95" spans="1:17" x14ac:dyDescent="0.3">
      <c r="A95">
        <v>105</v>
      </c>
      <c r="B95" s="4">
        <v>40548</v>
      </c>
      <c r="C95">
        <v>1</v>
      </c>
      <c r="D95">
        <v>0</v>
      </c>
      <c r="E95">
        <v>1</v>
      </c>
      <c r="F95">
        <v>13</v>
      </c>
      <c r="G95" t="b">
        <v>0</v>
      </c>
      <c r="H95">
        <v>3</v>
      </c>
      <c r="I95">
        <v>1</v>
      </c>
      <c r="J95">
        <v>0.28000000000000003</v>
      </c>
      <c r="K95">
        <v>105</v>
      </c>
      <c r="L95">
        <v>0.2576</v>
      </c>
      <c r="M95">
        <v>0.3</v>
      </c>
      <c r="N95">
        <v>0.29849999999999999</v>
      </c>
      <c r="O95">
        <v>6</v>
      </c>
      <c r="P95">
        <v>65</v>
      </c>
      <c r="Q95">
        <v>71</v>
      </c>
    </row>
    <row r="96" spans="1:17" x14ac:dyDescent="0.3">
      <c r="A96">
        <v>106</v>
      </c>
      <c r="B96" s="4">
        <v>40548</v>
      </c>
      <c r="C96">
        <v>1</v>
      </c>
      <c r="D96">
        <v>0</v>
      </c>
      <c r="E96">
        <v>1</v>
      </c>
      <c r="F96">
        <v>14</v>
      </c>
      <c r="G96" t="b">
        <v>0</v>
      </c>
      <c r="H96">
        <v>3</v>
      </c>
      <c r="I96">
        <v>1</v>
      </c>
      <c r="J96">
        <v>0.3</v>
      </c>
      <c r="K96">
        <v>106</v>
      </c>
      <c r="L96">
        <v>0.28789999999999999</v>
      </c>
      <c r="M96">
        <v>0.28000000000000003</v>
      </c>
      <c r="N96">
        <v>0.19400000000000001</v>
      </c>
      <c r="O96">
        <v>10</v>
      </c>
      <c r="P96">
        <v>52</v>
      </c>
      <c r="Q96">
        <v>62</v>
      </c>
    </row>
    <row r="97" spans="1:17" x14ac:dyDescent="0.3">
      <c r="A97">
        <v>107</v>
      </c>
      <c r="B97" s="4">
        <v>40548</v>
      </c>
      <c r="C97">
        <v>1</v>
      </c>
      <c r="D97">
        <v>0</v>
      </c>
      <c r="E97">
        <v>1</v>
      </c>
      <c r="F97">
        <v>15</v>
      </c>
      <c r="G97" t="b">
        <v>0</v>
      </c>
      <c r="H97">
        <v>3</v>
      </c>
      <c r="I97">
        <v>1</v>
      </c>
      <c r="J97">
        <v>0.3</v>
      </c>
      <c r="K97">
        <v>107</v>
      </c>
      <c r="L97">
        <v>0.28789999999999999</v>
      </c>
      <c r="M97">
        <v>0.28000000000000003</v>
      </c>
      <c r="N97">
        <v>0.19400000000000001</v>
      </c>
      <c r="O97">
        <v>7</v>
      </c>
      <c r="P97">
        <v>55</v>
      </c>
      <c r="Q97">
        <v>62</v>
      </c>
    </row>
    <row r="98" spans="1:17" x14ac:dyDescent="0.3">
      <c r="A98">
        <v>108</v>
      </c>
      <c r="B98" s="4">
        <v>40548</v>
      </c>
      <c r="C98">
        <v>1</v>
      </c>
      <c r="D98">
        <v>0</v>
      </c>
      <c r="E98">
        <v>1</v>
      </c>
      <c r="F98">
        <v>16</v>
      </c>
      <c r="G98" t="b">
        <v>0</v>
      </c>
      <c r="H98">
        <v>3</v>
      </c>
      <c r="I98">
        <v>1</v>
      </c>
      <c r="J98">
        <v>0.3</v>
      </c>
      <c r="K98">
        <v>108</v>
      </c>
      <c r="L98">
        <v>0.31819999999999998</v>
      </c>
      <c r="M98">
        <v>0.28000000000000003</v>
      </c>
      <c r="N98">
        <v>8.9599999999999999E-2</v>
      </c>
      <c r="O98">
        <v>4</v>
      </c>
      <c r="P98">
        <v>85</v>
      </c>
      <c r="Q98">
        <v>89</v>
      </c>
    </row>
    <row r="99" spans="1:17" x14ac:dyDescent="0.3">
      <c r="A99">
        <v>109</v>
      </c>
      <c r="B99" s="4">
        <v>40548</v>
      </c>
      <c r="C99">
        <v>1</v>
      </c>
      <c r="D99">
        <v>0</v>
      </c>
      <c r="E99">
        <v>1</v>
      </c>
      <c r="F99">
        <v>17</v>
      </c>
      <c r="G99" t="b">
        <v>0</v>
      </c>
      <c r="H99">
        <v>3</v>
      </c>
      <c r="I99">
        <v>1</v>
      </c>
      <c r="J99">
        <v>0.24</v>
      </c>
      <c r="K99">
        <v>109</v>
      </c>
      <c r="L99">
        <v>0.2273</v>
      </c>
      <c r="M99">
        <v>0.38</v>
      </c>
      <c r="N99">
        <v>0.19400000000000001</v>
      </c>
      <c r="O99">
        <v>4</v>
      </c>
      <c r="P99">
        <v>186</v>
      </c>
      <c r="Q99">
        <v>190</v>
      </c>
    </row>
    <row r="100" spans="1:17" x14ac:dyDescent="0.3">
      <c r="A100">
        <v>110</v>
      </c>
      <c r="B100" s="4">
        <v>40548</v>
      </c>
      <c r="C100">
        <v>1</v>
      </c>
      <c r="D100">
        <v>0</v>
      </c>
      <c r="E100">
        <v>1</v>
      </c>
      <c r="F100">
        <v>18</v>
      </c>
      <c r="G100" t="b">
        <v>0</v>
      </c>
      <c r="H100">
        <v>3</v>
      </c>
      <c r="I100">
        <v>1</v>
      </c>
      <c r="J100">
        <v>0.24</v>
      </c>
      <c r="K100">
        <v>110</v>
      </c>
      <c r="L100">
        <v>0.2424</v>
      </c>
      <c r="M100">
        <v>0.38</v>
      </c>
      <c r="N100">
        <v>0.1343</v>
      </c>
      <c r="O100">
        <v>3</v>
      </c>
      <c r="P100">
        <v>166</v>
      </c>
      <c r="Q100">
        <v>169</v>
      </c>
    </row>
    <row r="101" spans="1:17" x14ac:dyDescent="0.3">
      <c r="A101">
        <v>111</v>
      </c>
      <c r="B101" s="4">
        <v>40548</v>
      </c>
      <c r="C101">
        <v>1</v>
      </c>
      <c r="D101">
        <v>0</v>
      </c>
      <c r="E101">
        <v>1</v>
      </c>
      <c r="F101">
        <v>19</v>
      </c>
      <c r="G101" t="b">
        <v>0</v>
      </c>
      <c r="H101">
        <v>3</v>
      </c>
      <c r="I101">
        <v>1</v>
      </c>
      <c r="J101">
        <v>0.24</v>
      </c>
      <c r="K101">
        <v>111</v>
      </c>
      <c r="L101">
        <v>0.2576</v>
      </c>
      <c r="M101">
        <v>0.38</v>
      </c>
      <c r="N101">
        <v>0.1045</v>
      </c>
      <c r="O101">
        <v>5</v>
      </c>
      <c r="P101">
        <v>127</v>
      </c>
      <c r="Q101">
        <v>132</v>
      </c>
    </row>
    <row r="102" spans="1:17" x14ac:dyDescent="0.3">
      <c r="A102">
        <v>112</v>
      </c>
      <c r="B102" s="4">
        <v>40548</v>
      </c>
      <c r="C102">
        <v>1</v>
      </c>
      <c r="D102">
        <v>0</v>
      </c>
      <c r="E102">
        <v>1</v>
      </c>
      <c r="F102">
        <v>20</v>
      </c>
      <c r="G102" t="b">
        <v>0</v>
      </c>
      <c r="H102">
        <v>3</v>
      </c>
      <c r="I102">
        <v>1</v>
      </c>
      <c r="J102">
        <v>0.22</v>
      </c>
      <c r="K102">
        <v>112</v>
      </c>
      <c r="L102">
        <v>0.2273</v>
      </c>
      <c r="M102">
        <v>0.47</v>
      </c>
      <c r="N102">
        <v>0.16420000000000001</v>
      </c>
      <c r="O102">
        <v>7</v>
      </c>
      <c r="P102">
        <v>82</v>
      </c>
      <c r="Q102">
        <v>89</v>
      </c>
    </row>
    <row r="103" spans="1:17" x14ac:dyDescent="0.3">
      <c r="A103">
        <v>113</v>
      </c>
      <c r="B103" s="4">
        <v>40548</v>
      </c>
      <c r="C103">
        <v>1</v>
      </c>
      <c r="D103">
        <v>0</v>
      </c>
      <c r="E103">
        <v>1</v>
      </c>
      <c r="F103">
        <v>21</v>
      </c>
      <c r="G103" t="b">
        <v>0</v>
      </c>
      <c r="H103">
        <v>3</v>
      </c>
      <c r="I103">
        <v>1</v>
      </c>
      <c r="J103">
        <v>0.2</v>
      </c>
      <c r="K103">
        <v>113</v>
      </c>
      <c r="L103">
        <v>0.19700000000000001</v>
      </c>
      <c r="M103">
        <v>0.51</v>
      </c>
      <c r="N103">
        <v>0.19400000000000001</v>
      </c>
      <c r="O103">
        <v>3</v>
      </c>
      <c r="P103">
        <v>40</v>
      </c>
      <c r="Q103">
        <v>43</v>
      </c>
    </row>
    <row r="104" spans="1:17" x14ac:dyDescent="0.3">
      <c r="A104">
        <v>114</v>
      </c>
      <c r="B104" s="4">
        <v>40548</v>
      </c>
      <c r="C104">
        <v>1</v>
      </c>
      <c r="D104">
        <v>0</v>
      </c>
      <c r="E104">
        <v>1</v>
      </c>
      <c r="F104">
        <v>22</v>
      </c>
      <c r="G104" t="b">
        <v>0</v>
      </c>
      <c r="H104">
        <v>3</v>
      </c>
      <c r="I104">
        <v>1</v>
      </c>
      <c r="J104">
        <v>0.18</v>
      </c>
      <c r="K104">
        <v>114</v>
      </c>
      <c r="L104">
        <v>0.19700000000000001</v>
      </c>
      <c r="M104">
        <v>0.55000000000000004</v>
      </c>
      <c r="N104">
        <v>0.1343</v>
      </c>
      <c r="O104">
        <v>1</v>
      </c>
      <c r="P104">
        <v>41</v>
      </c>
      <c r="Q104">
        <v>42</v>
      </c>
    </row>
    <row r="105" spans="1:17" x14ac:dyDescent="0.3">
      <c r="A105">
        <v>115</v>
      </c>
      <c r="B105" s="4">
        <v>40548</v>
      </c>
      <c r="C105">
        <v>1</v>
      </c>
      <c r="D105">
        <v>0</v>
      </c>
      <c r="E105">
        <v>1</v>
      </c>
      <c r="F105">
        <v>23</v>
      </c>
      <c r="G105" t="b">
        <v>0</v>
      </c>
      <c r="H105">
        <v>3</v>
      </c>
      <c r="I105">
        <v>1</v>
      </c>
      <c r="J105">
        <v>0.2</v>
      </c>
      <c r="K105">
        <v>115</v>
      </c>
      <c r="L105">
        <v>0.2576</v>
      </c>
      <c r="M105">
        <v>0.47</v>
      </c>
      <c r="N105">
        <v>0</v>
      </c>
      <c r="O105">
        <v>1</v>
      </c>
      <c r="P105">
        <v>18</v>
      </c>
      <c r="Q105">
        <v>19</v>
      </c>
    </row>
    <row r="106" spans="1:17" x14ac:dyDescent="0.3">
      <c r="A106">
        <v>116</v>
      </c>
      <c r="B106" s="4">
        <v>40549</v>
      </c>
      <c r="C106">
        <v>1</v>
      </c>
      <c r="D106">
        <v>0</v>
      </c>
      <c r="E106">
        <v>1</v>
      </c>
      <c r="F106">
        <v>0</v>
      </c>
      <c r="G106" t="b">
        <v>0</v>
      </c>
      <c r="H106">
        <v>4</v>
      </c>
      <c r="I106">
        <v>1</v>
      </c>
      <c r="J106">
        <v>0.18</v>
      </c>
      <c r="K106">
        <v>116</v>
      </c>
      <c r="L106">
        <v>0.2424</v>
      </c>
      <c r="M106">
        <v>0.55000000000000004</v>
      </c>
      <c r="N106">
        <v>0</v>
      </c>
      <c r="O106">
        <v>0</v>
      </c>
      <c r="P106">
        <v>11</v>
      </c>
      <c r="Q106">
        <v>11</v>
      </c>
    </row>
    <row r="107" spans="1:17" x14ac:dyDescent="0.3">
      <c r="A107">
        <v>117</v>
      </c>
      <c r="B107" s="4">
        <v>40549</v>
      </c>
      <c r="C107">
        <v>1</v>
      </c>
      <c r="D107">
        <v>0</v>
      </c>
      <c r="E107">
        <v>1</v>
      </c>
      <c r="F107">
        <v>1</v>
      </c>
      <c r="G107" t="b">
        <v>0</v>
      </c>
      <c r="H107">
        <v>4</v>
      </c>
      <c r="I107">
        <v>1</v>
      </c>
      <c r="J107">
        <v>0.16</v>
      </c>
      <c r="K107">
        <v>117</v>
      </c>
      <c r="L107">
        <v>0.2273</v>
      </c>
      <c r="M107">
        <v>0.64</v>
      </c>
      <c r="N107">
        <v>0</v>
      </c>
      <c r="O107">
        <v>0</v>
      </c>
      <c r="P107">
        <v>4</v>
      </c>
      <c r="Q107">
        <v>4</v>
      </c>
    </row>
    <row r="108" spans="1:17" x14ac:dyDescent="0.3">
      <c r="A108">
        <v>118</v>
      </c>
      <c r="B108" s="4">
        <v>40549</v>
      </c>
      <c r="C108">
        <v>1</v>
      </c>
      <c r="D108">
        <v>0</v>
      </c>
      <c r="E108">
        <v>1</v>
      </c>
      <c r="F108">
        <v>2</v>
      </c>
      <c r="G108" t="b">
        <v>0</v>
      </c>
      <c r="H108">
        <v>4</v>
      </c>
      <c r="I108">
        <v>1</v>
      </c>
      <c r="J108">
        <v>0.16</v>
      </c>
      <c r="K108">
        <v>118</v>
      </c>
      <c r="L108">
        <v>0.2273</v>
      </c>
      <c r="M108">
        <v>0.64</v>
      </c>
      <c r="N108">
        <v>0</v>
      </c>
      <c r="O108">
        <v>0</v>
      </c>
      <c r="P108">
        <v>2</v>
      </c>
      <c r="Q108">
        <v>2</v>
      </c>
    </row>
    <row r="109" spans="1:17" x14ac:dyDescent="0.3">
      <c r="A109">
        <v>119</v>
      </c>
      <c r="B109" s="4">
        <v>40549</v>
      </c>
      <c r="C109">
        <v>1</v>
      </c>
      <c r="D109">
        <v>0</v>
      </c>
      <c r="E109">
        <v>1</v>
      </c>
      <c r="F109">
        <v>4</v>
      </c>
      <c r="G109" t="b">
        <v>0</v>
      </c>
      <c r="H109">
        <v>4</v>
      </c>
      <c r="I109">
        <v>2</v>
      </c>
      <c r="J109">
        <v>0.16</v>
      </c>
      <c r="K109">
        <v>119</v>
      </c>
      <c r="L109">
        <v>0.19700000000000001</v>
      </c>
      <c r="M109">
        <v>0.64</v>
      </c>
      <c r="N109">
        <v>8.9599999999999999E-2</v>
      </c>
      <c r="O109">
        <v>0</v>
      </c>
      <c r="P109">
        <v>1</v>
      </c>
      <c r="Q109">
        <v>1</v>
      </c>
    </row>
    <row r="110" spans="1:17" x14ac:dyDescent="0.3">
      <c r="A110">
        <v>120</v>
      </c>
      <c r="B110" s="4">
        <v>40549</v>
      </c>
      <c r="C110">
        <v>1</v>
      </c>
      <c r="D110">
        <v>0</v>
      </c>
      <c r="E110">
        <v>1</v>
      </c>
      <c r="F110">
        <v>5</v>
      </c>
      <c r="G110" t="b">
        <v>0</v>
      </c>
      <c r="H110">
        <v>4</v>
      </c>
      <c r="I110">
        <v>2</v>
      </c>
      <c r="J110">
        <v>0.14000000000000001</v>
      </c>
      <c r="K110">
        <v>120</v>
      </c>
      <c r="L110">
        <v>0.18179999999999999</v>
      </c>
      <c r="M110">
        <v>0.69</v>
      </c>
      <c r="N110">
        <v>8.9599999999999999E-2</v>
      </c>
      <c r="O110">
        <v>0</v>
      </c>
      <c r="P110">
        <v>4</v>
      </c>
      <c r="Q110">
        <v>4</v>
      </c>
    </row>
    <row r="111" spans="1:17" x14ac:dyDescent="0.3">
      <c r="A111">
        <v>121</v>
      </c>
      <c r="B111" s="4">
        <v>40549</v>
      </c>
      <c r="C111">
        <v>1</v>
      </c>
      <c r="D111">
        <v>0</v>
      </c>
      <c r="E111">
        <v>1</v>
      </c>
      <c r="F111">
        <v>6</v>
      </c>
      <c r="G111" t="b">
        <v>0</v>
      </c>
      <c r="H111">
        <v>4</v>
      </c>
      <c r="I111">
        <v>2</v>
      </c>
      <c r="J111">
        <v>0.14000000000000001</v>
      </c>
      <c r="K111">
        <v>121</v>
      </c>
      <c r="L111">
        <v>0.16669999999999999</v>
      </c>
      <c r="M111">
        <v>0.63</v>
      </c>
      <c r="N111">
        <v>0.1045</v>
      </c>
      <c r="O111">
        <v>0</v>
      </c>
      <c r="P111">
        <v>36</v>
      </c>
      <c r="Q111">
        <v>36</v>
      </c>
    </row>
    <row r="112" spans="1:17" x14ac:dyDescent="0.3">
      <c r="A112">
        <v>122</v>
      </c>
      <c r="B112" s="4">
        <v>40549</v>
      </c>
      <c r="C112">
        <v>1</v>
      </c>
      <c r="D112">
        <v>0</v>
      </c>
      <c r="E112">
        <v>1</v>
      </c>
      <c r="F112">
        <v>7</v>
      </c>
      <c r="G112" t="b">
        <v>0</v>
      </c>
      <c r="H112">
        <v>4</v>
      </c>
      <c r="I112">
        <v>2</v>
      </c>
      <c r="J112">
        <v>0.16</v>
      </c>
      <c r="K112">
        <v>122</v>
      </c>
      <c r="L112">
        <v>0.2273</v>
      </c>
      <c r="M112">
        <v>0.59</v>
      </c>
      <c r="N112">
        <v>0</v>
      </c>
      <c r="O112">
        <v>0</v>
      </c>
      <c r="P112">
        <v>95</v>
      </c>
      <c r="Q112">
        <v>95</v>
      </c>
    </row>
    <row r="113" spans="1:17" x14ac:dyDescent="0.3">
      <c r="A113">
        <v>123</v>
      </c>
      <c r="B113" s="4">
        <v>40549</v>
      </c>
      <c r="C113">
        <v>1</v>
      </c>
      <c r="D113">
        <v>0</v>
      </c>
      <c r="E113">
        <v>1</v>
      </c>
      <c r="F113">
        <v>8</v>
      </c>
      <c r="G113" t="b">
        <v>0</v>
      </c>
      <c r="H113">
        <v>4</v>
      </c>
      <c r="I113">
        <v>1</v>
      </c>
      <c r="J113">
        <v>0.16</v>
      </c>
      <c r="K113">
        <v>123</v>
      </c>
      <c r="L113">
        <v>0.2273</v>
      </c>
      <c r="M113">
        <v>0.59</v>
      </c>
      <c r="N113">
        <v>0</v>
      </c>
      <c r="O113">
        <v>3</v>
      </c>
      <c r="P113">
        <v>216</v>
      </c>
      <c r="Q113">
        <v>219</v>
      </c>
    </row>
    <row r="114" spans="1:17" x14ac:dyDescent="0.3">
      <c r="A114">
        <v>124</v>
      </c>
      <c r="B114" s="4">
        <v>40549</v>
      </c>
      <c r="C114">
        <v>1</v>
      </c>
      <c r="D114">
        <v>0</v>
      </c>
      <c r="E114">
        <v>1</v>
      </c>
      <c r="F114">
        <v>9</v>
      </c>
      <c r="G114" t="b">
        <v>0</v>
      </c>
      <c r="H114">
        <v>4</v>
      </c>
      <c r="I114">
        <v>2</v>
      </c>
      <c r="J114">
        <v>0.18</v>
      </c>
      <c r="K114">
        <v>124</v>
      </c>
      <c r="L114">
        <v>0.2424</v>
      </c>
      <c r="M114">
        <v>0.51</v>
      </c>
      <c r="N114">
        <v>0</v>
      </c>
      <c r="O114">
        <v>6</v>
      </c>
      <c r="P114">
        <v>116</v>
      </c>
      <c r="Q114">
        <v>122</v>
      </c>
    </row>
    <row r="115" spans="1:17" x14ac:dyDescent="0.3">
      <c r="A115">
        <v>125</v>
      </c>
      <c r="B115" s="4">
        <v>40549</v>
      </c>
      <c r="C115">
        <v>1</v>
      </c>
      <c r="D115">
        <v>0</v>
      </c>
      <c r="E115">
        <v>1</v>
      </c>
      <c r="F115">
        <v>10</v>
      </c>
      <c r="G115" t="b">
        <v>0</v>
      </c>
      <c r="H115">
        <v>4</v>
      </c>
      <c r="I115">
        <v>1</v>
      </c>
      <c r="J115">
        <v>0.2</v>
      </c>
      <c r="K115">
        <v>125</v>
      </c>
      <c r="L115">
        <v>0.2576</v>
      </c>
      <c r="M115">
        <v>0.47</v>
      </c>
      <c r="N115">
        <v>0</v>
      </c>
      <c r="O115">
        <v>3</v>
      </c>
      <c r="P115">
        <v>42</v>
      </c>
      <c r="Q115">
        <v>45</v>
      </c>
    </row>
    <row r="116" spans="1:17" x14ac:dyDescent="0.3">
      <c r="A116">
        <v>126</v>
      </c>
      <c r="B116" s="4">
        <v>40549</v>
      </c>
      <c r="C116">
        <v>1</v>
      </c>
      <c r="D116">
        <v>0</v>
      </c>
      <c r="E116">
        <v>1</v>
      </c>
      <c r="F116">
        <v>11</v>
      </c>
      <c r="G116" t="b">
        <v>0</v>
      </c>
      <c r="H116">
        <v>4</v>
      </c>
      <c r="I116">
        <v>1</v>
      </c>
      <c r="J116">
        <v>0.22</v>
      </c>
      <c r="K116">
        <v>126</v>
      </c>
      <c r="L116">
        <v>0.2576</v>
      </c>
      <c r="M116">
        <v>0.44</v>
      </c>
      <c r="N116">
        <v>8.9599999999999999E-2</v>
      </c>
      <c r="O116">
        <v>2</v>
      </c>
      <c r="P116">
        <v>57</v>
      </c>
      <c r="Q116">
        <v>59</v>
      </c>
    </row>
    <row r="117" spans="1:17" x14ac:dyDescent="0.3">
      <c r="A117">
        <v>127</v>
      </c>
      <c r="B117" s="4">
        <v>40549</v>
      </c>
      <c r="C117">
        <v>1</v>
      </c>
      <c r="D117">
        <v>0</v>
      </c>
      <c r="E117">
        <v>1</v>
      </c>
      <c r="F117">
        <v>12</v>
      </c>
      <c r="G117" t="b">
        <v>0</v>
      </c>
      <c r="H117">
        <v>4</v>
      </c>
      <c r="I117">
        <v>1</v>
      </c>
      <c r="J117">
        <v>0.26</v>
      </c>
      <c r="K117">
        <v>127</v>
      </c>
      <c r="L117">
        <v>0.28789999999999999</v>
      </c>
      <c r="M117">
        <v>0.35</v>
      </c>
      <c r="N117">
        <v>0</v>
      </c>
      <c r="O117">
        <v>6</v>
      </c>
      <c r="P117">
        <v>78</v>
      </c>
      <c r="Q117">
        <v>84</v>
      </c>
    </row>
    <row r="118" spans="1:17" x14ac:dyDescent="0.3">
      <c r="A118">
        <v>128</v>
      </c>
      <c r="B118" s="4">
        <v>40549</v>
      </c>
      <c r="C118">
        <v>1</v>
      </c>
      <c r="D118">
        <v>0</v>
      </c>
      <c r="E118">
        <v>1</v>
      </c>
      <c r="F118">
        <v>13</v>
      </c>
      <c r="G118" t="b">
        <v>0</v>
      </c>
      <c r="H118">
        <v>4</v>
      </c>
      <c r="I118">
        <v>1</v>
      </c>
      <c r="J118">
        <v>0.26</v>
      </c>
      <c r="K118">
        <v>128</v>
      </c>
      <c r="L118">
        <v>0.2727</v>
      </c>
      <c r="M118">
        <v>0.35</v>
      </c>
      <c r="N118">
        <v>0.1045</v>
      </c>
      <c r="O118">
        <v>12</v>
      </c>
      <c r="P118">
        <v>55</v>
      </c>
      <c r="Q118">
        <v>67</v>
      </c>
    </row>
    <row r="119" spans="1:17" x14ac:dyDescent="0.3">
      <c r="A119">
        <v>129</v>
      </c>
      <c r="B119" s="4">
        <v>40549</v>
      </c>
      <c r="C119">
        <v>1</v>
      </c>
      <c r="D119">
        <v>0</v>
      </c>
      <c r="E119">
        <v>1</v>
      </c>
      <c r="F119">
        <v>14</v>
      </c>
      <c r="G119" t="b">
        <v>0</v>
      </c>
      <c r="H119">
        <v>4</v>
      </c>
      <c r="I119">
        <v>1</v>
      </c>
      <c r="J119">
        <v>0.28000000000000003</v>
      </c>
      <c r="K119">
        <v>129</v>
      </c>
      <c r="L119">
        <v>0.2727</v>
      </c>
      <c r="M119">
        <v>0.36</v>
      </c>
      <c r="N119">
        <v>0.16420000000000001</v>
      </c>
      <c r="O119">
        <v>11</v>
      </c>
      <c r="P119">
        <v>59</v>
      </c>
      <c r="Q119">
        <v>70</v>
      </c>
    </row>
    <row r="120" spans="1:17" x14ac:dyDescent="0.3">
      <c r="A120">
        <v>130</v>
      </c>
      <c r="B120" s="4">
        <v>40549</v>
      </c>
      <c r="C120">
        <v>1</v>
      </c>
      <c r="D120">
        <v>0</v>
      </c>
      <c r="E120">
        <v>1</v>
      </c>
      <c r="F120">
        <v>15</v>
      </c>
      <c r="G120" t="b">
        <v>0</v>
      </c>
      <c r="H120">
        <v>4</v>
      </c>
      <c r="I120">
        <v>1</v>
      </c>
      <c r="J120">
        <v>0.28000000000000003</v>
      </c>
      <c r="K120">
        <v>130</v>
      </c>
      <c r="L120">
        <v>0.2727</v>
      </c>
      <c r="M120">
        <v>0.36</v>
      </c>
      <c r="N120">
        <v>0</v>
      </c>
      <c r="O120">
        <v>8</v>
      </c>
      <c r="P120">
        <v>54</v>
      </c>
      <c r="Q120">
        <v>62</v>
      </c>
    </row>
    <row r="121" spans="1:17" x14ac:dyDescent="0.3">
      <c r="A121">
        <v>131</v>
      </c>
      <c r="B121" s="4">
        <v>40549</v>
      </c>
      <c r="C121">
        <v>1</v>
      </c>
      <c r="D121">
        <v>0</v>
      </c>
      <c r="E121">
        <v>1</v>
      </c>
      <c r="F121">
        <v>16</v>
      </c>
      <c r="G121" t="b">
        <v>0</v>
      </c>
      <c r="H121">
        <v>4</v>
      </c>
      <c r="I121">
        <v>1</v>
      </c>
      <c r="J121">
        <v>0.26</v>
      </c>
      <c r="K121">
        <v>131</v>
      </c>
      <c r="L121">
        <v>0.2576</v>
      </c>
      <c r="M121">
        <v>0.38</v>
      </c>
      <c r="N121">
        <v>0.16420000000000001</v>
      </c>
      <c r="O121">
        <v>12</v>
      </c>
      <c r="P121">
        <v>74</v>
      </c>
      <c r="Q121">
        <v>86</v>
      </c>
    </row>
    <row r="122" spans="1:17" x14ac:dyDescent="0.3">
      <c r="A122">
        <v>132</v>
      </c>
      <c r="B122" s="4">
        <v>40549</v>
      </c>
      <c r="C122">
        <v>1</v>
      </c>
      <c r="D122">
        <v>0</v>
      </c>
      <c r="E122">
        <v>1</v>
      </c>
      <c r="F122">
        <v>17</v>
      </c>
      <c r="G122" t="b">
        <v>0</v>
      </c>
      <c r="H122">
        <v>4</v>
      </c>
      <c r="I122">
        <v>1</v>
      </c>
      <c r="J122">
        <v>0.22</v>
      </c>
      <c r="K122">
        <v>132</v>
      </c>
      <c r="L122">
        <v>0.2273</v>
      </c>
      <c r="M122">
        <v>0.51</v>
      </c>
      <c r="N122">
        <v>0.16420000000000001</v>
      </c>
      <c r="O122">
        <v>9</v>
      </c>
      <c r="P122">
        <v>163</v>
      </c>
      <c r="Q122">
        <v>172</v>
      </c>
    </row>
    <row r="123" spans="1:17" x14ac:dyDescent="0.3">
      <c r="A123">
        <v>133</v>
      </c>
      <c r="B123" s="4">
        <v>40549</v>
      </c>
      <c r="C123">
        <v>1</v>
      </c>
      <c r="D123">
        <v>0</v>
      </c>
      <c r="E123">
        <v>1</v>
      </c>
      <c r="F123">
        <v>18</v>
      </c>
      <c r="G123" t="b">
        <v>0</v>
      </c>
      <c r="H123">
        <v>4</v>
      </c>
      <c r="I123">
        <v>1</v>
      </c>
      <c r="J123">
        <v>0.22</v>
      </c>
      <c r="K123">
        <v>133</v>
      </c>
      <c r="L123">
        <v>0.2273</v>
      </c>
      <c r="M123">
        <v>0.51</v>
      </c>
      <c r="N123">
        <v>0.1343</v>
      </c>
      <c r="O123">
        <v>5</v>
      </c>
      <c r="P123">
        <v>158</v>
      </c>
      <c r="Q123">
        <v>163</v>
      </c>
    </row>
    <row r="124" spans="1:17" x14ac:dyDescent="0.3">
      <c r="A124">
        <v>134</v>
      </c>
      <c r="B124" s="4">
        <v>40549</v>
      </c>
      <c r="C124">
        <v>1</v>
      </c>
      <c r="D124">
        <v>0</v>
      </c>
      <c r="E124">
        <v>1</v>
      </c>
      <c r="F124">
        <v>19</v>
      </c>
      <c r="G124" t="b">
        <v>0</v>
      </c>
      <c r="H124">
        <v>4</v>
      </c>
      <c r="I124">
        <v>1</v>
      </c>
      <c r="J124">
        <v>0.22</v>
      </c>
      <c r="K124">
        <v>134</v>
      </c>
      <c r="L124">
        <v>0.2576</v>
      </c>
      <c r="M124">
        <v>0.55000000000000004</v>
      </c>
      <c r="N124">
        <v>8.9599999999999999E-2</v>
      </c>
      <c r="O124">
        <v>3</v>
      </c>
      <c r="P124">
        <v>109</v>
      </c>
      <c r="Q124">
        <v>112</v>
      </c>
    </row>
    <row r="125" spans="1:17" x14ac:dyDescent="0.3">
      <c r="A125">
        <v>135</v>
      </c>
      <c r="B125" s="4">
        <v>40549</v>
      </c>
      <c r="C125">
        <v>1</v>
      </c>
      <c r="D125">
        <v>0</v>
      </c>
      <c r="E125">
        <v>1</v>
      </c>
      <c r="F125">
        <v>20</v>
      </c>
      <c r="G125" t="b">
        <v>0</v>
      </c>
      <c r="H125">
        <v>4</v>
      </c>
      <c r="I125">
        <v>1</v>
      </c>
      <c r="J125">
        <v>0.2</v>
      </c>
      <c r="K125">
        <v>135</v>
      </c>
      <c r="L125">
        <v>0.21210000000000001</v>
      </c>
      <c r="M125">
        <v>0.51</v>
      </c>
      <c r="N125">
        <v>0.16420000000000001</v>
      </c>
      <c r="O125">
        <v>3</v>
      </c>
      <c r="P125">
        <v>66</v>
      </c>
      <c r="Q125">
        <v>69</v>
      </c>
    </row>
    <row r="126" spans="1:17" x14ac:dyDescent="0.3">
      <c r="A126">
        <v>136</v>
      </c>
      <c r="B126" s="4">
        <v>40549</v>
      </c>
      <c r="C126">
        <v>1</v>
      </c>
      <c r="D126">
        <v>0</v>
      </c>
      <c r="E126">
        <v>1</v>
      </c>
      <c r="F126">
        <v>21</v>
      </c>
      <c r="G126" t="b">
        <v>0</v>
      </c>
      <c r="H126">
        <v>4</v>
      </c>
      <c r="I126">
        <v>2</v>
      </c>
      <c r="J126">
        <v>0.22</v>
      </c>
      <c r="K126">
        <v>136</v>
      </c>
      <c r="L126">
        <v>0.21210000000000001</v>
      </c>
      <c r="M126">
        <v>0.55000000000000004</v>
      </c>
      <c r="N126">
        <v>0.22389999999999999</v>
      </c>
      <c r="O126">
        <v>0</v>
      </c>
      <c r="P126">
        <v>48</v>
      </c>
      <c r="Q126">
        <v>48</v>
      </c>
    </row>
    <row r="127" spans="1:17" x14ac:dyDescent="0.3">
      <c r="A127">
        <v>137</v>
      </c>
      <c r="B127" s="4">
        <v>40549</v>
      </c>
      <c r="C127">
        <v>1</v>
      </c>
      <c r="D127">
        <v>0</v>
      </c>
      <c r="E127">
        <v>1</v>
      </c>
      <c r="F127">
        <v>22</v>
      </c>
      <c r="G127" t="b">
        <v>0</v>
      </c>
      <c r="H127">
        <v>4</v>
      </c>
      <c r="I127">
        <v>2</v>
      </c>
      <c r="J127">
        <v>0.22</v>
      </c>
      <c r="K127">
        <v>137</v>
      </c>
      <c r="L127">
        <v>0.21210000000000001</v>
      </c>
      <c r="M127">
        <v>0.51</v>
      </c>
      <c r="N127">
        <v>0.28360000000000002</v>
      </c>
      <c r="O127">
        <v>1</v>
      </c>
      <c r="P127">
        <v>51</v>
      </c>
      <c r="Q127">
        <v>52</v>
      </c>
    </row>
    <row r="128" spans="1:17" x14ac:dyDescent="0.3">
      <c r="A128">
        <v>138</v>
      </c>
      <c r="B128" s="4">
        <v>40549</v>
      </c>
      <c r="C128">
        <v>1</v>
      </c>
      <c r="D128">
        <v>0</v>
      </c>
      <c r="E128">
        <v>1</v>
      </c>
      <c r="F128">
        <v>23</v>
      </c>
      <c r="G128" t="b">
        <v>0</v>
      </c>
      <c r="H128">
        <v>4</v>
      </c>
      <c r="I128">
        <v>2</v>
      </c>
      <c r="J128">
        <v>0.2</v>
      </c>
      <c r="K128">
        <v>138</v>
      </c>
      <c r="L128">
        <v>0.19700000000000001</v>
      </c>
      <c r="M128">
        <v>0.59</v>
      </c>
      <c r="N128">
        <v>0.19400000000000001</v>
      </c>
      <c r="O128">
        <v>4</v>
      </c>
      <c r="P128">
        <v>19</v>
      </c>
      <c r="Q128">
        <v>23</v>
      </c>
    </row>
    <row r="129" spans="1:17" x14ac:dyDescent="0.3">
      <c r="A129">
        <v>139</v>
      </c>
      <c r="B129" s="4">
        <v>40550</v>
      </c>
      <c r="C129">
        <v>1</v>
      </c>
      <c r="D129">
        <v>0</v>
      </c>
      <c r="E129">
        <v>1</v>
      </c>
      <c r="F129">
        <v>0</v>
      </c>
      <c r="G129" t="b">
        <v>0</v>
      </c>
      <c r="H129">
        <v>5</v>
      </c>
      <c r="I129">
        <v>2</v>
      </c>
      <c r="J129">
        <v>0.2</v>
      </c>
      <c r="K129">
        <v>139</v>
      </c>
      <c r="L129">
        <v>0.19700000000000001</v>
      </c>
      <c r="M129">
        <v>0.64</v>
      </c>
      <c r="N129">
        <v>0.19400000000000001</v>
      </c>
      <c r="O129">
        <v>4</v>
      </c>
      <c r="P129">
        <v>13</v>
      </c>
      <c r="Q129">
        <v>17</v>
      </c>
    </row>
    <row r="130" spans="1:17" x14ac:dyDescent="0.3">
      <c r="A130">
        <v>140</v>
      </c>
      <c r="B130" s="4">
        <v>40550</v>
      </c>
      <c r="C130">
        <v>1</v>
      </c>
      <c r="D130">
        <v>0</v>
      </c>
      <c r="E130">
        <v>1</v>
      </c>
      <c r="F130">
        <v>1</v>
      </c>
      <c r="G130" t="b">
        <v>0</v>
      </c>
      <c r="H130">
        <v>5</v>
      </c>
      <c r="I130">
        <v>2</v>
      </c>
      <c r="J130">
        <v>0.2</v>
      </c>
      <c r="K130">
        <v>140</v>
      </c>
      <c r="L130">
        <v>0.19700000000000001</v>
      </c>
      <c r="M130">
        <v>0.69</v>
      </c>
      <c r="N130">
        <v>0.22389999999999999</v>
      </c>
      <c r="O130">
        <v>2</v>
      </c>
      <c r="P130">
        <v>5</v>
      </c>
      <c r="Q130">
        <v>7</v>
      </c>
    </row>
    <row r="131" spans="1:17" x14ac:dyDescent="0.3">
      <c r="A131">
        <v>141</v>
      </c>
      <c r="B131" s="4">
        <v>40550</v>
      </c>
      <c r="C131">
        <v>1</v>
      </c>
      <c r="D131">
        <v>0</v>
      </c>
      <c r="E131">
        <v>1</v>
      </c>
      <c r="F131">
        <v>2</v>
      </c>
      <c r="G131" t="b">
        <v>0</v>
      </c>
      <c r="H131">
        <v>5</v>
      </c>
      <c r="I131">
        <v>2</v>
      </c>
      <c r="J131">
        <v>0.2</v>
      </c>
      <c r="K131">
        <v>141</v>
      </c>
      <c r="L131">
        <v>0.19700000000000001</v>
      </c>
      <c r="M131">
        <v>0.69</v>
      </c>
      <c r="N131">
        <v>0.22389999999999999</v>
      </c>
      <c r="O131">
        <v>0</v>
      </c>
      <c r="P131">
        <v>1</v>
      </c>
      <c r="Q131">
        <v>1</v>
      </c>
    </row>
    <row r="132" spans="1:17" x14ac:dyDescent="0.3">
      <c r="A132">
        <v>142</v>
      </c>
      <c r="B132" s="4">
        <v>40550</v>
      </c>
      <c r="C132">
        <v>1</v>
      </c>
      <c r="D132">
        <v>0</v>
      </c>
      <c r="E132">
        <v>1</v>
      </c>
      <c r="F132">
        <v>4</v>
      </c>
      <c r="G132" t="b">
        <v>0</v>
      </c>
      <c r="H132">
        <v>5</v>
      </c>
      <c r="I132">
        <v>2</v>
      </c>
      <c r="J132">
        <v>0.2</v>
      </c>
      <c r="K132">
        <v>142</v>
      </c>
      <c r="L132">
        <v>0.21210000000000001</v>
      </c>
      <c r="M132">
        <v>0.69</v>
      </c>
      <c r="N132">
        <v>0.1343</v>
      </c>
      <c r="O132">
        <v>0</v>
      </c>
      <c r="P132">
        <v>1</v>
      </c>
      <c r="Q132">
        <v>1</v>
      </c>
    </row>
    <row r="133" spans="1:17" x14ac:dyDescent="0.3">
      <c r="A133">
        <v>143</v>
      </c>
      <c r="B133" s="4">
        <v>40550</v>
      </c>
      <c r="C133">
        <v>1</v>
      </c>
      <c r="D133">
        <v>0</v>
      </c>
      <c r="E133">
        <v>1</v>
      </c>
      <c r="F133">
        <v>5</v>
      </c>
      <c r="G133" t="b">
        <v>0</v>
      </c>
      <c r="H133">
        <v>5</v>
      </c>
      <c r="I133">
        <v>3</v>
      </c>
      <c r="J133">
        <v>0.22</v>
      </c>
      <c r="K133">
        <v>143</v>
      </c>
      <c r="L133">
        <v>0.2727</v>
      </c>
      <c r="M133">
        <v>0.55000000000000004</v>
      </c>
      <c r="N133">
        <v>0</v>
      </c>
      <c r="O133">
        <v>0</v>
      </c>
      <c r="P133">
        <v>5</v>
      </c>
      <c r="Q133">
        <v>5</v>
      </c>
    </row>
    <row r="134" spans="1:17" x14ac:dyDescent="0.3">
      <c r="A134">
        <v>144</v>
      </c>
      <c r="B134" s="4">
        <v>40550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5</v>
      </c>
      <c r="I134">
        <v>2</v>
      </c>
      <c r="J134">
        <v>0.2</v>
      </c>
      <c r="K134">
        <v>144</v>
      </c>
      <c r="L134">
        <v>0.2576</v>
      </c>
      <c r="M134">
        <v>0.69</v>
      </c>
      <c r="N134">
        <v>0</v>
      </c>
      <c r="O134">
        <v>8</v>
      </c>
      <c r="P134">
        <v>26</v>
      </c>
      <c r="Q134">
        <v>34</v>
      </c>
    </row>
    <row r="135" spans="1:17" x14ac:dyDescent="0.3">
      <c r="A135">
        <v>145</v>
      </c>
      <c r="B135" s="4">
        <v>40550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5</v>
      </c>
      <c r="I135">
        <v>1</v>
      </c>
      <c r="J135">
        <v>0.2</v>
      </c>
      <c r="K135">
        <v>145</v>
      </c>
      <c r="L135">
        <v>0.21210000000000001</v>
      </c>
      <c r="M135">
        <v>0.69</v>
      </c>
      <c r="N135">
        <v>0.1343</v>
      </c>
      <c r="O135">
        <v>8</v>
      </c>
      <c r="P135">
        <v>76</v>
      </c>
      <c r="Q135">
        <v>84</v>
      </c>
    </row>
    <row r="136" spans="1:17" x14ac:dyDescent="0.3">
      <c r="A136">
        <v>146</v>
      </c>
      <c r="B136" s="4">
        <v>40550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5</v>
      </c>
      <c r="I136">
        <v>1</v>
      </c>
      <c r="J136">
        <v>0.2</v>
      </c>
      <c r="K136">
        <v>146</v>
      </c>
      <c r="L136">
        <v>0.19700000000000001</v>
      </c>
      <c r="M136">
        <v>0.51</v>
      </c>
      <c r="N136">
        <v>0.25369999999999998</v>
      </c>
      <c r="O136">
        <v>20</v>
      </c>
      <c r="P136">
        <v>190</v>
      </c>
      <c r="Q136">
        <v>210</v>
      </c>
    </row>
    <row r="137" spans="1:17" x14ac:dyDescent="0.3">
      <c r="A137">
        <v>147</v>
      </c>
      <c r="B137" s="4">
        <v>40550</v>
      </c>
      <c r="C137">
        <v>1</v>
      </c>
      <c r="D137">
        <v>0</v>
      </c>
      <c r="E137">
        <v>1</v>
      </c>
      <c r="F137">
        <v>9</v>
      </c>
      <c r="G137" t="b">
        <v>0</v>
      </c>
      <c r="H137">
        <v>5</v>
      </c>
      <c r="I137">
        <v>1</v>
      </c>
      <c r="J137">
        <v>0.2</v>
      </c>
      <c r="K137">
        <v>147</v>
      </c>
      <c r="L137">
        <v>0.18179999999999999</v>
      </c>
      <c r="M137">
        <v>0.47</v>
      </c>
      <c r="N137">
        <v>0.29849999999999999</v>
      </c>
      <c r="O137">
        <v>9</v>
      </c>
      <c r="P137">
        <v>125</v>
      </c>
      <c r="Q137">
        <v>134</v>
      </c>
    </row>
    <row r="138" spans="1:17" x14ac:dyDescent="0.3">
      <c r="A138">
        <v>148</v>
      </c>
      <c r="B138" s="4">
        <v>40550</v>
      </c>
      <c r="C138">
        <v>1</v>
      </c>
      <c r="D138">
        <v>0</v>
      </c>
      <c r="E138">
        <v>1</v>
      </c>
      <c r="F138">
        <v>10</v>
      </c>
      <c r="G138" t="b">
        <v>0</v>
      </c>
      <c r="H138">
        <v>5</v>
      </c>
      <c r="I138">
        <v>1</v>
      </c>
      <c r="J138">
        <v>0.22</v>
      </c>
      <c r="K138">
        <v>148</v>
      </c>
      <c r="L138">
        <v>0.19700000000000001</v>
      </c>
      <c r="M138">
        <v>0.37</v>
      </c>
      <c r="N138">
        <v>0.32840000000000003</v>
      </c>
      <c r="O138">
        <v>16</v>
      </c>
      <c r="P138">
        <v>47</v>
      </c>
      <c r="Q138">
        <v>63</v>
      </c>
    </row>
    <row r="139" spans="1:17" x14ac:dyDescent="0.3">
      <c r="A139">
        <v>149</v>
      </c>
      <c r="B139" s="4">
        <v>40550</v>
      </c>
      <c r="C139">
        <v>1</v>
      </c>
      <c r="D139">
        <v>0</v>
      </c>
      <c r="E139">
        <v>1</v>
      </c>
      <c r="F139">
        <v>11</v>
      </c>
      <c r="G139" t="b">
        <v>0</v>
      </c>
      <c r="H139">
        <v>5</v>
      </c>
      <c r="I139">
        <v>2</v>
      </c>
      <c r="J139">
        <v>0.2</v>
      </c>
      <c r="K139">
        <v>149</v>
      </c>
      <c r="L139">
        <v>0.19700000000000001</v>
      </c>
      <c r="M139">
        <v>0.4</v>
      </c>
      <c r="N139">
        <v>0.22389999999999999</v>
      </c>
      <c r="O139">
        <v>19</v>
      </c>
      <c r="P139">
        <v>48</v>
      </c>
      <c r="Q139">
        <v>67</v>
      </c>
    </row>
    <row r="140" spans="1:17" x14ac:dyDescent="0.3">
      <c r="A140">
        <v>150</v>
      </c>
      <c r="B140" s="4">
        <v>40550</v>
      </c>
      <c r="C140">
        <v>1</v>
      </c>
      <c r="D140">
        <v>0</v>
      </c>
      <c r="E140">
        <v>1</v>
      </c>
      <c r="F140">
        <v>12</v>
      </c>
      <c r="G140" t="b">
        <v>0</v>
      </c>
      <c r="H140">
        <v>5</v>
      </c>
      <c r="I140">
        <v>2</v>
      </c>
      <c r="J140">
        <v>0.2</v>
      </c>
      <c r="K140">
        <v>150</v>
      </c>
      <c r="L140">
        <v>0.19700000000000001</v>
      </c>
      <c r="M140">
        <v>0.37</v>
      </c>
      <c r="N140">
        <v>0.25369999999999998</v>
      </c>
      <c r="O140">
        <v>9</v>
      </c>
      <c r="P140">
        <v>50</v>
      </c>
      <c r="Q140">
        <v>59</v>
      </c>
    </row>
    <row r="141" spans="1:17" x14ac:dyDescent="0.3">
      <c r="A141">
        <v>151</v>
      </c>
      <c r="B141" s="4">
        <v>40550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5</v>
      </c>
      <c r="I141">
        <v>2</v>
      </c>
      <c r="J141">
        <v>0.2</v>
      </c>
      <c r="K141">
        <v>151</v>
      </c>
      <c r="L141">
        <v>0.18179999999999999</v>
      </c>
      <c r="M141">
        <v>0.37</v>
      </c>
      <c r="N141">
        <v>0.28360000000000002</v>
      </c>
      <c r="O141">
        <v>9</v>
      </c>
      <c r="P141">
        <v>64</v>
      </c>
      <c r="Q141">
        <v>73</v>
      </c>
    </row>
    <row r="142" spans="1:17" x14ac:dyDescent="0.3">
      <c r="A142">
        <v>152</v>
      </c>
      <c r="B142" s="4">
        <v>40550</v>
      </c>
      <c r="C142">
        <v>1</v>
      </c>
      <c r="D142">
        <v>0</v>
      </c>
      <c r="E142">
        <v>1</v>
      </c>
      <c r="F142">
        <v>14</v>
      </c>
      <c r="G142" t="b">
        <v>0</v>
      </c>
      <c r="H142">
        <v>5</v>
      </c>
      <c r="I142">
        <v>2</v>
      </c>
      <c r="J142">
        <v>0.2</v>
      </c>
      <c r="K142">
        <v>152</v>
      </c>
      <c r="L142">
        <v>0.19700000000000001</v>
      </c>
      <c r="M142">
        <v>0.4</v>
      </c>
      <c r="N142">
        <v>0.25369999999999998</v>
      </c>
      <c r="O142">
        <v>7</v>
      </c>
      <c r="P142">
        <v>43</v>
      </c>
      <c r="Q142">
        <v>50</v>
      </c>
    </row>
    <row r="143" spans="1:17" x14ac:dyDescent="0.3">
      <c r="A143">
        <v>153</v>
      </c>
      <c r="B143" s="4">
        <v>40550</v>
      </c>
      <c r="C143">
        <v>1</v>
      </c>
      <c r="D143">
        <v>0</v>
      </c>
      <c r="E143">
        <v>1</v>
      </c>
      <c r="F143">
        <v>15</v>
      </c>
      <c r="G143" t="b">
        <v>0</v>
      </c>
      <c r="H143">
        <v>5</v>
      </c>
      <c r="I143">
        <v>2</v>
      </c>
      <c r="J143">
        <v>0.2</v>
      </c>
      <c r="K143">
        <v>153</v>
      </c>
      <c r="L143">
        <v>0.21210000000000001</v>
      </c>
      <c r="M143">
        <v>0.37</v>
      </c>
      <c r="N143">
        <v>0.16420000000000001</v>
      </c>
      <c r="O143">
        <v>9</v>
      </c>
      <c r="P143">
        <v>63</v>
      </c>
      <c r="Q143">
        <v>72</v>
      </c>
    </row>
    <row r="144" spans="1:17" x14ac:dyDescent="0.3">
      <c r="A144">
        <v>154</v>
      </c>
      <c r="B144" s="4">
        <v>40550</v>
      </c>
      <c r="C144">
        <v>1</v>
      </c>
      <c r="D144">
        <v>0</v>
      </c>
      <c r="E144">
        <v>1</v>
      </c>
      <c r="F144">
        <v>16</v>
      </c>
      <c r="G144" t="b">
        <v>0</v>
      </c>
      <c r="H144">
        <v>5</v>
      </c>
      <c r="I144">
        <v>2</v>
      </c>
      <c r="J144">
        <v>0.2</v>
      </c>
      <c r="K144">
        <v>154</v>
      </c>
      <c r="L144">
        <v>0.21210000000000001</v>
      </c>
      <c r="M144">
        <v>0.37</v>
      </c>
      <c r="N144">
        <v>0.16420000000000001</v>
      </c>
      <c r="O144">
        <v>5</v>
      </c>
      <c r="P144">
        <v>82</v>
      </c>
      <c r="Q144">
        <v>87</v>
      </c>
    </row>
    <row r="145" spans="1:17" x14ac:dyDescent="0.3">
      <c r="A145">
        <v>155</v>
      </c>
      <c r="B145" s="4">
        <v>40550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5</v>
      </c>
      <c r="I145">
        <v>2</v>
      </c>
      <c r="J145">
        <v>0.2</v>
      </c>
      <c r="K145">
        <v>155</v>
      </c>
      <c r="L145">
        <v>0.2576</v>
      </c>
      <c r="M145">
        <v>0.37</v>
      </c>
      <c r="N145">
        <v>0</v>
      </c>
      <c r="O145">
        <v>9</v>
      </c>
      <c r="P145">
        <v>178</v>
      </c>
      <c r="Q145">
        <v>187</v>
      </c>
    </row>
    <row r="146" spans="1:17" x14ac:dyDescent="0.3">
      <c r="A146">
        <v>156</v>
      </c>
      <c r="B146" s="4">
        <v>40550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5</v>
      </c>
      <c r="I146">
        <v>1</v>
      </c>
      <c r="J146">
        <v>0.2</v>
      </c>
      <c r="K146">
        <v>156</v>
      </c>
      <c r="L146">
        <v>0.2273</v>
      </c>
      <c r="M146">
        <v>0.4</v>
      </c>
      <c r="N146">
        <v>8.9599999999999999E-2</v>
      </c>
      <c r="O146">
        <v>7</v>
      </c>
      <c r="P146">
        <v>116</v>
      </c>
      <c r="Q146">
        <v>123</v>
      </c>
    </row>
    <row r="147" spans="1:17" x14ac:dyDescent="0.3">
      <c r="A147">
        <v>157</v>
      </c>
      <c r="B147" s="4">
        <v>40550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5</v>
      </c>
      <c r="I147">
        <v>1</v>
      </c>
      <c r="J147">
        <v>0.16</v>
      </c>
      <c r="K147">
        <v>157</v>
      </c>
      <c r="L147">
        <v>0.19700000000000001</v>
      </c>
      <c r="M147">
        <v>0.55000000000000004</v>
      </c>
      <c r="N147">
        <v>8.9599999999999999E-2</v>
      </c>
      <c r="O147">
        <v>3</v>
      </c>
      <c r="P147">
        <v>92</v>
      </c>
      <c r="Q147">
        <v>95</v>
      </c>
    </row>
    <row r="148" spans="1:17" x14ac:dyDescent="0.3">
      <c r="A148">
        <v>158</v>
      </c>
      <c r="B148" s="4">
        <v>40550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5</v>
      </c>
      <c r="I148">
        <v>1</v>
      </c>
      <c r="J148">
        <v>0.18</v>
      </c>
      <c r="K148">
        <v>158</v>
      </c>
      <c r="L148">
        <v>0.21210000000000001</v>
      </c>
      <c r="M148">
        <v>0.47</v>
      </c>
      <c r="N148">
        <v>0.1045</v>
      </c>
      <c r="O148">
        <v>1</v>
      </c>
      <c r="P148">
        <v>50</v>
      </c>
      <c r="Q148">
        <v>51</v>
      </c>
    </row>
    <row r="149" spans="1:17" x14ac:dyDescent="0.3">
      <c r="A149">
        <v>159</v>
      </c>
      <c r="B149" s="4">
        <v>40550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5</v>
      </c>
      <c r="I149">
        <v>1</v>
      </c>
      <c r="J149">
        <v>0.18</v>
      </c>
      <c r="K149">
        <v>159</v>
      </c>
      <c r="L149">
        <v>0.19700000000000001</v>
      </c>
      <c r="M149">
        <v>0.47</v>
      </c>
      <c r="N149">
        <v>0.1343</v>
      </c>
      <c r="O149">
        <v>0</v>
      </c>
      <c r="P149">
        <v>39</v>
      </c>
      <c r="Q149">
        <v>39</v>
      </c>
    </row>
    <row r="150" spans="1:17" x14ac:dyDescent="0.3">
      <c r="A150">
        <v>160</v>
      </c>
      <c r="B150" s="4">
        <v>40550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5</v>
      </c>
      <c r="I150">
        <v>2</v>
      </c>
      <c r="J150">
        <v>0.18</v>
      </c>
      <c r="K150">
        <v>160</v>
      </c>
      <c r="L150">
        <v>0.19700000000000001</v>
      </c>
      <c r="M150">
        <v>0.43</v>
      </c>
      <c r="N150">
        <v>0.16420000000000001</v>
      </c>
      <c r="O150">
        <v>2</v>
      </c>
      <c r="P150">
        <v>34</v>
      </c>
      <c r="Q150">
        <v>36</v>
      </c>
    </row>
    <row r="151" spans="1:17" x14ac:dyDescent="0.3">
      <c r="A151">
        <v>161</v>
      </c>
      <c r="B151" s="4">
        <v>40550</v>
      </c>
      <c r="C151">
        <v>1</v>
      </c>
      <c r="D151">
        <v>0</v>
      </c>
      <c r="E151">
        <v>1</v>
      </c>
      <c r="F151">
        <v>23</v>
      </c>
      <c r="G151" t="b">
        <v>0</v>
      </c>
      <c r="H151">
        <v>5</v>
      </c>
      <c r="I151">
        <v>2</v>
      </c>
      <c r="J151">
        <v>0.18</v>
      </c>
      <c r="K151">
        <v>161</v>
      </c>
      <c r="L151">
        <v>0.19700000000000001</v>
      </c>
      <c r="M151">
        <v>0.51</v>
      </c>
      <c r="N151">
        <v>0.16420000000000001</v>
      </c>
      <c r="O151">
        <v>1</v>
      </c>
      <c r="P151">
        <v>14</v>
      </c>
      <c r="Q151">
        <v>15</v>
      </c>
    </row>
    <row r="152" spans="1:17" x14ac:dyDescent="0.3">
      <c r="A152">
        <v>162</v>
      </c>
      <c r="B152" s="4">
        <v>40551</v>
      </c>
      <c r="C152">
        <v>1</v>
      </c>
      <c r="D152">
        <v>0</v>
      </c>
      <c r="E152">
        <v>1</v>
      </c>
      <c r="F152">
        <v>0</v>
      </c>
      <c r="G152" t="b">
        <v>0</v>
      </c>
      <c r="H152">
        <v>6</v>
      </c>
      <c r="I152">
        <v>2</v>
      </c>
      <c r="J152">
        <v>0.18</v>
      </c>
      <c r="K152">
        <v>162</v>
      </c>
      <c r="L152">
        <v>0.19700000000000001</v>
      </c>
      <c r="M152">
        <v>0.51</v>
      </c>
      <c r="N152">
        <v>0.16420000000000001</v>
      </c>
      <c r="O152">
        <v>1</v>
      </c>
      <c r="P152">
        <v>24</v>
      </c>
      <c r="Q152">
        <v>25</v>
      </c>
    </row>
    <row r="153" spans="1:17" x14ac:dyDescent="0.3">
      <c r="A153">
        <v>163</v>
      </c>
      <c r="B153" s="4">
        <v>40551</v>
      </c>
      <c r="C153">
        <v>1</v>
      </c>
      <c r="D153">
        <v>0</v>
      </c>
      <c r="E153">
        <v>1</v>
      </c>
      <c r="F153">
        <v>1</v>
      </c>
      <c r="G153" t="b">
        <v>0</v>
      </c>
      <c r="H153">
        <v>6</v>
      </c>
      <c r="I153">
        <v>2</v>
      </c>
      <c r="J153">
        <v>0.18</v>
      </c>
      <c r="K153">
        <v>163</v>
      </c>
      <c r="L153">
        <v>0.21210000000000001</v>
      </c>
      <c r="M153">
        <v>0.55000000000000004</v>
      </c>
      <c r="N153">
        <v>8.9599999999999999E-2</v>
      </c>
      <c r="O153">
        <v>1</v>
      </c>
      <c r="P153">
        <v>15</v>
      </c>
      <c r="Q153">
        <v>16</v>
      </c>
    </row>
    <row r="154" spans="1:17" x14ac:dyDescent="0.3">
      <c r="A154">
        <v>164</v>
      </c>
      <c r="B154" s="4">
        <v>40551</v>
      </c>
      <c r="C154">
        <v>1</v>
      </c>
      <c r="D154">
        <v>0</v>
      </c>
      <c r="E154">
        <v>1</v>
      </c>
      <c r="F154">
        <v>2</v>
      </c>
      <c r="G154" t="b">
        <v>0</v>
      </c>
      <c r="H154">
        <v>6</v>
      </c>
      <c r="I154">
        <v>2</v>
      </c>
      <c r="J154">
        <v>0.18</v>
      </c>
      <c r="K154">
        <v>164</v>
      </c>
      <c r="L154">
        <v>0.2424</v>
      </c>
      <c r="M154">
        <v>0.55000000000000004</v>
      </c>
      <c r="N154">
        <v>0</v>
      </c>
      <c r="O154">
        <v>3</v>
      </c>
      <c r="P154">
        <v>13</v>
      </c>
      <c r="Q154">
        <v>16</v>
      </c>
    </row>
    <row r="155" spans="1:17" x14ac:dyDescent="0.3">
      <c r="A155">
        <v>165</v>
      </c>
      <c r="B155" s="4">
        <v>40551</v>
      </c>
      <c r="C155">
        <v>1</v>
      </c>
      <c r="D155">
        <v>0</v>
      </c>
      <c r="E155">
        <v>1</v>
      </c>
      <c r="F155">
        <v>3</v>
      </c>
      <c r="G155" t="b">
        <v>0</v>
      </c>
      <c r="H155">
        <v>6</v>
      </c>
      <c r="I155">
        <v>3</v>
      </c>
      <c r="J155">
        <v>0.18</v>
      </c>
      <c r="K155">
        <v>165</v>
      </c>
      <c r="L155">
        <v>0.19700000000000001</v>
      </c>
      <c r="M155">
        <v>0.55000000000000004</v>
      </c>
      <c r="N155">
        <v>0.16420000000000001</v>
      </c>
      <c r="O155">
        <v>0</v>
      </c>
      <c r="P155">
        <v>7</v>
      </c>
      <c r="Q155">
        <v>7</v>
      </c>
    </row>
    <row r="156" spans="1:17" x14ac:dyDescent="0.3">
      <c r="A156">
        <v>166</v>
      </c>
      <c r="B156" s="4">
        <v>40551</v>
      </c>
      <c r="C156">
        <v>1</v>
      </c>
      <c r="D156">
        <v>0</v>
      </c>
      <c r="E156">
        <v>1</v>
      </c>
      <c r="F156">
        <v>4</v>
      </c>
      <c r="G156" t="b">
        <v>0</v>
      </c>
      <c r="H156">
        <v>6</v>
      </c>
      <c r="I156">
        <v>3</v>
      </c>
      <c r="J156">
        <v>0.18</v>
      </c>
      <c r="K156">
        <v>166</v>
      </c>
      <c r="L156">
        <v>0.19700000000000001</v>
      </c>
      <c r="M156">
        <v>0.55000000000000004</v>
      </c>
      <c r="N156">
        <v>0.16420000000000001</v>
      </c>
      <c r="O156">
        <v>0</v>
      </c>
      <c r="P156">
        <v>1</v>
      </c>
      <c r="Q156">
        <v>1</v>
      </c>
    </row>
    <row r="157" spans="1:17" x14ac:dyDescent="0.3">
      <c r="A157">
        <v>167</v>
      </c>
      <c r="B157" s="4">
        <v>40551</v>
      </c>
      <c r="C157">
        <v>1</v>
      </c>
      <c r="D157">
        <v>0</v>
      </c>
      <c r="E157">
        <v>1</v>
      </c>
      <c r="F157">
        <v>5</v>
      </c>
      <c r="G157" t="b">
        <v>0</v>
      </c>
      <c r="H157">
        <v>6</v>
      </c>
      <c r="I157">
        <v>2</v>
      </c>
      <c r="J157">
        <v>0.16</v>
      </c>
      <c r="K157">
        <v>167</v>
      </c>
      <c r="L157">
        <v>0.16669999999999999</v>
      </c>
      <c r="M157">
        <v>0.74</v>
      </c>
      <c r="N157">
        <v>0.16420000000000001</v>
      </c>
      <c r="O157">
        <v>0</v>
      </c>
      <c r="P157">
        <v>5</v>
      </c>
      <c r="Q157">
        <v>5</v>
      </c>
    </row>
    <row r="158" spans="1:17" x14ac:dyDescent="0.3">
      <c r="A158">
        <v>168</v>
      </c>
      <c r="B158" s="4">
        <v>40551</v>
      </c>
      <c r="C158">
        <v>1</v>
      </c>
      <c r="D158">
        <v>0</v>
      </c>
      <c r="E158">
        <v>1</v>
      </c>
      <c r="F158">
        <v>6</v>
      </c>
      <c r="G158" t="b">
        <v>0</v>
      </c>
      <c r="H158">
        <v>6</v>
      </c>
      <c r="I158">
        <v>2</v>
      </c>
      <c r="J158">
        <v>0.16</v>
      </c>
      <c r="K158">
        <v>168</v>
      </c>
      <c r="L158">
        <v>0.16669999999999999</v>
      </c>
      <c r="M158">
        <v>0.74</v>
      </c>
      <c r="N158">
        <v>0.16420000000000001</v>
      </c>
      <c r="O158">
        <v>0</v>
      </c>
      <c r="P158">
        <v>2</v>
      </c>
      <c r="Q158">
        <v>2</v>
      </c>
    </row>
    <row r="159" spans="1:17" x14ac:dyDescent="0.3">
      <c r="A159">
        <v>169</v>
      </c>
      <c r="B159" s="4">
        <v>40551</v>
      </c>
      <c r="C159">
        <v>1</v>
      </c>
      <c r="D159">
        <v>0</v>
      </c>
      <c r="E159">
        <v>1</v>
      </c>
      <c r="F159">
        <v>7</v>
      </c>
      <c r="G159" t="b">
        <v>0</v>
      </c>
      <c r="H159">
        <v>6</v>
      </c>
      <c r="I159">
        <v>2</v>
      </c>
      <c r="J159">
        <v>0.16</v>
      </c>
      <c r="K159">
        <v>169</v>
      </c>
      <c r="L159">
        <v>0.18179999999999999</v>
      </c>
      <c r="M159">
        <v>0.74</v>
      </c>
      <c r="N159">
        <v>0.1045</v>
      </c>
      <c r="O159">
        <v>1</v>
      </c>
      <c r="P159">
        <v>8</v>
      </c>
      <c r="Q159">
        <v>9</v>
      </c>
    </row>
    <row r="160" spans="1:17" x14ac:dyDescent="0.3">
      <c r="A160">
        <v>170</v>
      </c>
      <c r="B160" s="4">
        <v>40551</v>
      </c>
      <c r="C160">
        <v>1</v>
      </c>
      <c r="D160">
        <v>0</v>
      </c>
      <c r="E160">
        <v>1</v>
      </c>
      <c r="F160">
        <v>8</v>
      </c>
      <c r="G160" t="b">
        <v>0</v>
      </c>
      <c r="H160">
        <v>6</v>
      </c>
      <c r="I160">
        <v>3</v>
      </c>
      <c r="J160">
        <v>0.16</v>
      </c>
      <c r="K160">
        <v>170</v>
      </c>
      <c r="L160">
        <v>0.18179999999999999</v>
      </c>
      <c r="M160">
        <v>0.93</v>
      </c>
      <c r="N160">
        <v>0.1045</v>
      </c>
      <c r="O160">
        <v>0</v>
      </c>
      <c r="P160">
        <v>15</v>
      </c>
      <c r="Q160">
        <v>15</v>
      </c>
    </row>
    <row r="161" spans="1:17" x14ac:dyDescent="0.3">
      <c r="A161">
        <v>171</v>
      </c>
      <c r="B161" s="4">
        <v>40551</v>
      </c>
      <c r="C161">
        <v>1</v>
      </c>
      <c r="D161">
        <v>0</v>
      </c>
      <c r="E161">
        <v>1</v>
      </c>
      <c r="F161">
        <v>9</v>
      </c>
      <c r="G161" t="b">
        <v>0</v>
      </c>
      <c r="H161">
        <v>6</v>
      </c>
      <c r="I161">
        <v>3</v>
      </c>
      <c r="J161">
        <v>0.16</v>
      </c>
      <c r="K161">
        <v>171</v>
      </c>
      <c r="L161">
        <v>0.18179999999999999</v>
      </c>
      <c r="M161">
        <v>0.93</v>
      </c>
      <c r="N161">
        <v>0.1045</v>
      </c>
      <c r="O161">
        <v>0</v>
      </c>
      <c r="P161">
        <v>20</v>
      </c>
      <c r="Q161">
        <v>20</v>
      </c>
    </row>
    <row r="162" spans="1:17" x14ac:dyDescent="0.3">
      <c r="A162">
        <v>172</v>
      </c>
      <c r="B162" s="4">
        <v>40551</v>
      </c>
      <c r="C162">
        <v>1</v>
      </c>
      <c r="D162">
        <v>0</v>
      </c>
      <c r="E162">
        <v>1</v>
      </c>
      <c r="F162">
        <v>10</v>
      </c>
      <c r="G162" t="b">
        <v>0</v>
      </c>
      <c r="H162">
        <v>6</v>
      </c>
      <c r="I162">
        <v>2</v>
      </c>
      <c r="J162">
        <v>0.18</v>
      </c>
      <c r="K162">
        <v>172</v>
      </c>
      <c r="L162">
        <v>0.19700000000000001</v>
      </c>
      <c r="M162">
        <v>0.8</v>
      </c>
      <c r="N162">
        <v>0.16420000000000001</v>
      </c>
      <c r="O162">
        <v>5</v>
      </c>
      <c r="P162">
        <v>56</v>
      </c>
      <c r="Q162">
        <v>61</v>
      </c>
    </row>
    <row r="163" spans="1:17" x14ac:dyDescent="0.3">
      <c r="A163">
        <v>173</v>
      </c>
      <c r="B163" s="4">
        <v>40551</v>
      </c>
      <c r="C163">
        <v>1</v>
      </c>
      <c r="D163">
        <v>0</v>
      </c>
      <c r="E163">
        <v>1</v>
      </c>
      <c r="F163">
        <v>11</v>
      </c>
      <c r="G163" t="b">
        <v>0</v>
      </c>
      <c r="H163">
        <v>6</v>
      </c>
      <c r="I163">
        <v>2</v>
      </c>
      <c r="J163">
        <v>0.2</v>
      </c>
      <c r="K163">
        <v>173</v>
      </c>
      <c r="L163">
        <v>0.18179999999999999</v>
      </c>
      <c r="M163">
        <v>0.69</v>
      </c>
      <c r="N163">
        <v>0.3881</v>
      </c>
      <c r="O163">
        <v>2</v>
      </c>
      <c r="P163">
        <v>60</v>
      </c>
      <c r="Q163">
        <v>62</v>
      </c>
    </row>
    <row r="164" spans="1:17" x14ac:dyDescent="0.3">
      <c r="A164">
        <v>174</v>
      </c>
      <c r="B164" s="4">
        <v>40551</v>
      </c>
      <c r="C164">
        <v>1</v>
      </c>
      <c r="D164">
        <v>0</v>
      </c>
      <c r="E164">
        <v>1</v>
      </c>
      <c r="F164">
        <v>12</v>
      </c>
      <c r="G164" t="b">
        <v>0</v>
      </c>
      <c r="H164">
        <v>6</v>
      </c>
      <c r="I164">
        <v>2</v>
      </c>
      <c r="J164">
        <v>0.2</v>
      </c>
      <c r="K164">
        <v>174</v>
      </c>
      <c r="L164">
        <v>0.18179999999999999</v>
      </c>
      <c r="M164">
        <v>0.59</v>
      </c>
      <c r="N164">
        <v>0.35820000000000002</v>
      </c>
      <c r="O164">
        <v>8</v>
      </c>
      <c r="P164">
        <v>90</v>
      </c>
      <c r="Q164">
        <v>98</v>
      </c>
    </row>
    <row r="165" spans="1:17" x14ac:dyDescent="0.3">
      <c r="A165">
        <v>175</v>
      </c>
      <c r="B165" s="4">
        <v>40551</v>
      </c>
      <c r="C165">
        <v>1</v>
      </c>
      <c r="D165">
        <v>0</v>
      </c>
      <c r="E165">
        <v>1</v>
      </c>
      <c r="F165">
        <v>13</v>
      </c>
      <c r="G165" t="b">
        <v>0</v>
      </c>
      <c r="H165">
        <v>6</v>
      </c>
      <c r="I165">
        <v>1</v>
      </c>
      <c r="J165">
        <v>0.2</v>
      </c>
      <c r="K165">
        <v>175</v>
      </c>
      <c r="L165">
        <v>0.18179999999999999</v>
      </c>
      <c r="M165">
        <v>0.44</v>
      </c>
      <c r="N165">
        <v>0.32840000000000003</v>
      </c>
      <c r="O165">
        <v>7</v>
      </c>
      <c r="P165">
        <v>95</v>
      </c>
      <c r="Q165">
        <v>102</v>
      </c>
    </row>
    <row r="166" spans="1:17" x14ac:dyDescent="0.3">
      <c r="A166">
        <v>176</v>
      </c>
      <c r="B166" s="4">
        <v>40551</v>
      </c>
      <c r="C166">
        <v>1</v>
      </c>
      <c r="D166">
        <v>0</v>
      </c>
      <c r="E166">
        <v>1</v>
      </c>
      <c r="F166">
        <v>14</v>
      </c>
      <c r="G166" t="b">
        <v>0</v>
      </c>
      <c r="H166">
        <v>6</v>
      </c>
      <c r="I166">
        <v>1</v>
      </c>
      <c r="J166">
        <v>0.2</v>
      </c>
      <c r="K166">
        <v>176</v>
      </c>
      <c r="L166">
        <v>0.16669999999999999</v>
      </c>
      <c r="M166">
        <v>0.32</v>
      </c>
      <c r="N166">
        <v>0.49249999999999999</v>
      </c>
      <c r="O166">
        <v>12</v>
      </c>
      <c r="P166">
        <v>83</v>
      </c>
      <c r="Q166">
        <v>95</v>
      </c>
    </row>
    <row r="167" spans="1:17" x14ac:dyDescent="0.3">
      <c r="A167">
        <v>177</v>
      </c>
      <c r="B167" s="4">
        <v>40551</v>
      </c>
      <c r="C167">
        <v>1</v>
      </c>
      <c r="D167">
        <v>0</v>
      </c>
      <c r="E167">
        <v>1</v>
      </c>
      <c r="F167">
        <v>15</v>
      </c>
      <c r="G167" t="b">
        <v>0</v>
      </c>
      <c r="H167">
        <v>6</v>
      </c>
      <c r="I167">
        <v>1</v>
      </c>
      <c r="J167">
        <v>0.2</v>
      </c>
      <c r="K167">
        <v>177</v>
      </c>
      <c r="L167">
        <v>0.16669999999999999</v>
      </c>
      <c r="M167">
        <v>0.32</v>
      </c>
      <c r="N167">
        <v>0.44779999999999998</v>
      </c>
      <c r="O167">
        <v>5</v>
      </c>
      <c r="P167">
        <v>69</v>
      </c>
      <c r="Q167">
        <v>74</v>
      </c>
    </row>
    <row r="168" spans="1:17" x14ac:dyDescent="0.3">
      <c r="A168">
        <v>178</v>
      </c>
      <c r="B168" s="4">
        <v>40551</v>
      </c>
      <c r="C168">
        <v>1</v>
      </c>
      <c r="D168">
        <v>0</v>
      </c>
      <c r="E168">
        <v>1</v>
      </c>
      <c r="F168">
        <v>16</v>
      </c>
      <c r="G168" t="b">
        <v>0</v>
      </c>
      <c r="H168">
        <v>6</v>
      </c>
      <c r="I168">
        <v>1</v>
      </c>
      <c r="J168">
        <v>0.18</v>
      </c>
      <c r="K168">
        <v>178</v>
      </c>
      <c r="L168">
        <v>0.13639999999999999</v>
      </c>
      <c r="M168">
        <v>0.28999999999999998</v>
      </c>
      <c r="N168">
        <v>0.44779999999999998</v>
      </c>
      <c r="O168">
        <v>8</v>
      </c>
      <c r="P168">
        <v>68</v>
      </c>
      <c r="Q168">
        <v>76</v>
      </c>
    </row>
    <row r="169" spans="1:17" x14ac:dyDescent="0.3">
      <c r="A169">
        <v>179</v>
      </c>
      <c r="B169" s="4">
        <v>40551</v>
      </c>
      <c r="C169">
        <v>1</v>
      </c>
      <c r="D169">
        <v>0</v>
      </c>
      <c r="E169">
        <v>1</v>
      </c>
      <c r="F169">
        <v>17</v>
      </c>
      <c r="G169" t="b">
        <v>0</v>
      </c>
      <c r="H169">
        <v>6</v>
      </c>
      <c r="I169">
        <v>1</v>
      </c>
      <c r="J169">
        <v>0.16</v>
      </c>
      <c r="K169">
        <v>179</v>
      </c>
      <c r="L169">
        <v>0.1212</v>
      </c>
      <c r="M169">
        <v>0.37</v>
      </c>
      <c r="N169">
        <v>0.55220000000000002</v>
      </c>
      <c r="O169">
        <v>5</v>
      </c>
      <c r="P169">
        <v>64</v>
      </c>
      <c r="Q169">
        <v>69</v>
      </c>
    </row>
    <row r="170" spans="1:17" x14ac:dyDescent="0.3">
      <c r="A170">
        <v>180</v>
      </c>
      <c r="B170" s="4">
        <v>40551</v>
      </c>
      <c r="C170">
        <v>1</v>
      </c>
      <c r="D170">
        <v>0</v>
      </c>
      <c r="E170">
        <v>1</v>
      </c>
      <c r="F170">
        <v>18</v>
      </c>
      <c r="G170" t="b">
        <v>0</v>
      </c>
      <c r="H170">
        <v>6</v>
      </c>
      <c r="I170">
        <v>1</v>
      </c>
      <c r="J170">
        <v>0.14000000000000001</v>
      </c>
      <c r="K170">
        <v>180</v>
      </c>
      <c r="L170">
        <v>0.1212</v>
      </c>
      <c r="M170">
        <v>0.39</v>
      </c>
      <c r="N170">
        <v>0.29849999999999999</v>
      </c>
      <c r="O170">
        <v>3</v>
      </c>
      <c r="P170">
        <v>52</v>
      </c>
      <c r="Q170">
        <v>55</v>
      </c>
    </row>
    <row r="171" spans="1:17" x14ac:dyDescent="0.3">
      <c r="A171">
        <v>181</v>
      </c>
      <c r="B171" s="4">
        <v>40551</v>
      </c>
      <c r="C171">
        <v>1</v>
      </c>
      <c r="D171">
        <v>0</v>
      </c>
      <c r="E171">
        <v>1</v>
      </c>
      <c r="F171">
        <v>19</v>
      </c>
      <c r="G171" t="b">
        <v>0</v>
      </c>
      <c r="H171">
        <v>6</v>
      </c>
      <c r="I171">
        <v>1</v>
      </c>
      <c r="J171">
        <v>0.14000000000000001</v>
      </c>
      <c r="K171">
        <v>181</v>
      </c>
      <c r="L171">
        <v>0.1212</v>
      </c>
      <c r="M171">
        <v>0.36</v>
      </c>
      <c r="N171">
        <v>0.25369999999999998</v>
      </c>
      <c r="O171">
        <v>4</v>
      </c>
      <c r="P171">
        <v>26</v>
      </c>
      <c r="Q171">
        <v>30</v>
      </c>
    </row>
    <row r="172" spans="1:17" x14ac:dyDescent="0.3">
      <c r="A172">
        <v>182</v>
      </c>
      <c r="B172" s="4">
        <v>40551</v>
      </c>
      <c r="C172">
        <v>1</v>
      </c>
      <c r="D172">
        <v>0</v>
      </c>
      <c r="E172">
        <v>1</v>
      </c>
      <c r="F172">
        <v>20</v>
      </c>
      <c r="G172" t="b">
        <v>0</v>
      </c>
      <c r="H172">
        <v>6</v>
      </c>
      <c r="I172">
        <v>1</v>
      </c>
      <c r="J172">
        <v>0.12</v>
      </c>
      <c r="K172">
        <v>182</v>
      </c>
      <c r="L172">
        <v>0.1212</v>
      </c>
      <c r="M172">
        <v>0.36</v>
      </c>
      <c r="N172">
        <v>0.25369999999999998</v>
      </c>
      <c r="O172">
        <v>0</v>
      </c>
      <c r="P172">
        <v>28</v>
      </c>
      <c r="Q172">
        <v>28</v>
      </c>
    </row>
    <row r="173" spans="1:17" x14ac:dyDescent="0.3">
      <c r="A173">
        <v>183</v>
      </c>
      <c r="B173" s="4">
        <v>40551</v>
      </c>
      <c r="C173">
        <v>1</v>
      </c>
      <c r="D173">
        <v>0</v>
      </c>
      <c r="E173">
        <v>1</v>
      </c>
      <c r="F173">
        <v>21</v>
      </c>
      <c r="G173" t="b">
        <v>0</v>
      </c>
      <c r="H173">
        <v>6</v>
      </c>
      <c r="I173">
        <v>1</v>
      </c>
      <c r="J173">
        <v>0.12</v>
      </c>
      <c r="K173">
        <v>183</v>
      </c>
      <c r="L173">
        <v>0.1061</v>
      </c>
      <c r="M173">
        <v>0.39</v>
      </c>
      <c r="N173">
        <v>0.35820000000000002</v>
      </c>
      <c r="O173">
        <v>2</v>
      </c>
      <c r="P173">
        <v>35</v>
      </c>
      <c r="Q173">
        <v>37</v>
      </c>
    </row>
    <row r="174" spans="1:17" x14ac:dyDescent="0.3">
      <c r="A174">
        <v>184</v>
      </c>
      <c r="B174" s="4">
        <v>40551</v>
      </c>
      <c r="C174">
        <v>1</v>
      </c>
      <c r="D174">
        <v>0</v>
      </c>
      <c r="E174">
        <v>1</v>
      </c>
      <c r="F174">
        <v>22</v>
      </c>
      <c r="G174" t="b">
        <v>0</v>
      </c>
      <c r="H174">
        <v>6</v>
      </c>
      <c r="I174">
        <v>1</v>
      </c>
      <c r="J174">
        <v>0.12</v>
      </c>
      <c r="K174">
        <v>184</v>
      </c>
      <c r="L174">
        <v>0.1061</v>
      </c>
      <c r="M174">
        <v>0.36</v>
      </c>
      <c r="N174">
        <v>0.3881</v>
      </c>
      <c r="O174">
        <v>1</v>
      </c>
      <c r="P174">
        <v>33</v>
      </c>
      <c r="Q174">
        <v>34</v>
      </c>
    </row>
    <row r="175" spans="1:17" x14ac:dyDescent="0.3">
      <c r="A175">
        <v>185</v>
      </c>
      <c r="B175" s="4">
        <v>40551</v>
      </c>
      <c r="C175">
        <v>1</v>
      </c>
      <c r="D175">
        <v>0</v>
      </c>
      <c r="E175">
        <v>1</v>
      </c>
      <c r="F175">
        <v>23</v>
      </c>
      <c r="G175" t="b">
        <v>0</v>
      </c>
      <c r="H175">
        <v>6</v>
      </c>
      <c r="I175">
        <v>1</v>
      </c>
      <c r="J175">
        <v>0.1</v>
      </c>
      <c r="K175">
        <v>185</v>
      </c>
      <c r="L175">
        <v>6.0600000000000001E-2</v>
      </c>
      <c r="M175">
        <v>0.39</v>
      </c>
      <c r="N175">
        <v>0.44779999999999998</v>
      </c>
      <c r="O175">
        <v>0</v>
      </c>
      <c r="P175">
        <v>22</v>
      </c>
      <c r="Q175">
        <v>22</v>
      </c>
    </row>
    <row r="176" spans="1:17" x14ac:dyDescent="0.3">
      <c r="A176">
        <v>186</v>
      </c>
      <c r="B176" s="4">
        <v>40552</v>
      </c>
      <c r="C176">
        <v>1</v>
      </c>
      <c r="D176">
        <v>0</v>
      </c>
      <c r="E176">
        <v>1</v>
      </c>
      <c r="F176">
        <v>0</v>
      </c>
      <c r="G176" t="b">
        <v>0</v>
      </c>
      <c r="H176">
        <v>0</v>
      </c>
      <c r="I176">
        <v>1</v>
      </c>
      <c r="J176">
        <v>0.1</v>
      </c>
      <c r="K176">
        <v>186</v>
      </c>
      <c r="L176">
        <v>7.5800000000000006E-2</v>
      </c>
      <c r="M176">
        <v>0.42</v>
      </c>
      <c r="N176">
        <v>0.3881</v>
      </c>
      <c r="O176">
        <v>1</v>
      </c>
      <c r="P176">
        <v>24</v>
      </c>
      <c r="Q176">
        <v>25</v>
      </c>
    </row>
    <row r="177" spans="1:17" x14ac:dyDescent="0.3">
      <c r="A177">
        <v>187</v>
      </c>
      <c r="B177" s="4">
        <v>40552</v>
      </c>
      <c r="C177">
        <v>1</v>
      </c>
      <c r="D177">
        <v>0</v>
      </c>
      <c r="E177">
        <v>1</v>
      </c>
      <c r="F177">
        <v>1</v>
      </c>
      <c r="G177" t="b">
        <v>0</v>
      </c>
      <c r="H177">
        <v>0</v>
      </c>
      <c r="I177">
        <v>1</v>
      </c>
      <c r="J177">
        <v>0.1</v>
      </c>
      <c r="K177">
        <v>187</v>
      </c>
      <c r="L177">
        <v>6.0600000000000001E-2</v>
      </c>
      <c r="M177">
        <v>0.42</v>
      </c>
      <c r="N177">
        <v>0.4627</v>
      </c>
      <c r="O177">
        <v>0</v>
      </c>
      <c r="P177">
        <v>12</v>
      </c>
      <c r="Q177">
        <v>12</v>
      </c>
    </row>
    <row r="178" spans="1:17" x14ac:dyDescent="0.3">
      <c r="A178">
        <v>188</v>
      </c>
      <c r="B178" s="4">
        <v>40552</v>
      </c>
      <c r="C178">
        <v>1</v>
      </c>
      <c r="D178">
        <v>0</v>
      </c>
      <c r="E178">
        <v>1</v>
      </c>
      <c r="F178">
        <v>2</v>
      </c>
      <c r="G178" t="b">
        <v>0</v>
      </c>
      <c r="H178">
        <v>0</v>
      </c>
      <c r="I178">
        <v>1</v>
      </c>
      <c r="J178">
        <v>0.1</v>
      </c>
      <c r="K178">
        <v>188</v>
      </c>
      <c r="L178">
        <v>6.0600000000000001E-2</v>
      </c>
      <c r="M178">
        <v>0.46</v>
      </c>
      <c r="N178">
        <v>0.4627</v>
      </c>
      <c r="O178">
        <v>0</v>
      </c>
      <c r="P178">
        <v>11</v>
      </c>
      <c r="Q178">
        <v>11</v>
      </c>
    </row>
    <row r="179" spans="1:17" x14ac:dyDescent="0.3">
      <c r="A179">
        <v>189</v>
      </c>
      <c r="B179" s="4">
        <v>40552</v>
      </c>
      <c r="C179">
        <v>1</v>
      </c>
      <c r="D179">
        <v>0</v>
      </c>
      <c r="E179">
        <v>1</v>
      </c>
      <c r="F179">
        <v>3</v>
      </c>
      <c r="G179" t="b">
        <v>0</v>
      </c>
      <c r="H179">
        <v>0</v>
      </c>
      <c r="I179">
        <v>1</v>
      </c>
      <c r="J179">
        <v>0.1</v>
      </c>
      <c r="K179">
        <v>189</v>
      </c>
      <c r="L179">
        <v>7.5800000000000006E-2</v>
      </c>
      <c r="M179">
        <v>0.46</v>
      </c>
      <c r="N179">
        <v>0.41789999999999999</v>
      </c>
      <c r="O179">
        <v>0</v>
      </c>
      <c r="P179">
        <v>4</v>
      </c>
      <c r="Q179">
        <v>4</v>
      </c>
    </row>
    <row r="180" spans="1:17" x14ac:dyDescent="0.3">
      <c r="A180">
        <v>190</v>
      </c>
      <c r="B180" s="4">
        <v>40552</v>
      </c>
      <c r="C180">
        <v>1</v>
      </c>
      <c r="D180">
        <v>0</v>
      </c>
      <c r="E180">
        <v>1</v>
      </c>
      <c r="F180">
        <v>4</v>
      </c>
      <c r="G180" t="b">
        <v>0</v>
      </c>
      <c r="H180">
        <v>0</v>
      </c>
      <c r="I180">
        <v>1</v>
      </c>
      <c r="J180">
        <v>0.08</v>
      </c>
      <c r="K180">
        <v>190</v>
      </c>
      <c r="L180">
        <v>9.0899999999999995E-2</v>
      </c>
      <c r="M180">
        <v>0.53</v>
      </c>
      <c r="N180">
        <v>0.19400000000000001</v>
      </c>
      <c r="O180">
        <v>0</v>
      </c>
      <c r="P180">
        <v>1</v>
      </c>
      <c r="Q180">
        <v>1</v>
      </c>
    </row>
    <row r="181" spans="1:17" x14ac:dyDescent="0.3">
      <c r="A181">
        <v>191</v>
      </c>
      <c r="B181" s="4">
        <v>40552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0</v>
      </c>
      <c r="I181">
        <v>1</v>
      </c>
      <c r="J181">
        <v>0.08</v>
      </c>
      <c r="K181">
        <v>191</v>
      </c>
      <c r="L181">
        <v>9.0899999999999995E-2</v>
      </c>
      <c r="M181">
        <v>0.53</v>
      </c>
      <c r="N181">
        <v>0.19400000000000001</v>
      </c>
      <c r="O181">
        <v>0</v>
      </c>
      <c r="P181">
        <v>1</v>
      </c>
      <c r="Q181">
        <v>1</v>
      </c>
    </row>
    <row r="182" spans="1:17" x14ac:dyDescent="0.3">
      <c r="A182">
        <v>192</v>
      </c>
      <c r="B182" s="4">
        <v>40552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0</v>
      </c>
      <c r="I182">
        <v>1</v>
      </c>
      <c r="J182">
        <v>0.1</v>
      </c>
      <c r="K182">
        <v>192</v>
      </c>
      <c r="L182">
        <v>9.0899999999999995E-2</v>
      </c>
      <c r="M182">
        <v>0.49</v>
      </c>
      <c r="N182">
        <v>0.28360000000000002</v>
      </c>
      <c r="O182">
        <v>0</v>
      </c>
      <c r="P182">
        <v>1</v>
      </c>
      <c r="Q182">
        <v>1</v>
      </c>
    </row>
    <row r="183" spans="1:17" x14ac:dyDescent="0.3">
      <c r="A183">
        <v>193</v>
      </c>
      <c r="B183" s="4">
        <v>40552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0</v>
      </c>
      <c r="I183">
        <v>1</v>
      </c>
      <c r="J183">
        <v>0.08</v>
      </c>
      <c r="K183">
        <v>193</v>
      </c>
      <c r="L183">
        <v>9.0899999999999995E-2</v>
      </c>
      <c r="M183">
        <v>0.53</v>
      </c>
      <c r="N183">
        <v>0.19400000000000001</v>
      </c>
      <c r="O183">
        <v>1</v>
      </c>
      <c r="P183">
        <v>5</v>
      </c>
      <c r="Q183">
        <v>6</v>
      </c>
    </row>
    <row r="184" spans="1:17" x14ac:dyDescent="0.3">
      <c r="A184">
        <v>194</v>
      </c>
      <c r="B184" s="4">
        <v>40552</v>
      </c>
      <c r="C184">
        <v>1</v>
      </c>
      <c r="D184">
        <v>0</v>
      </c>
      <c r="E184">
        <v>1</v>
      </c>
      <c r="F184">
        <v>8</v>
      </c>
      <c r="G184" t="b">
        <v>0</v>
      </c>
      <c r="H184">
        <v>0</v>
      </c>
      <c r="I184">
        <v>1</v>
      </c>
      <c r="J184">
        <v>0.1</v>
      </c>
      <c r="K184">
        <v>194</v>
      </c>
      <c r="L184">
        <v>9.0899999999999995E-2</v>
      </c>
      <c r="M184">
        <v>0.49</v>
      </c>
      <c r="N184">
        <v>0.28360000000000002</v>
      </c>
      <c r="O184">
        <v>0</v>
      </c>
      <c r="P184">
        <v>10</v>
      </c>
      <c r="Q184">
        <v>10</v>
      </c>
    </row>
    <row r="185" spans="1:17" x14ac:dyDescent="0.3">
      <c r="A185">
        <v>195</v>
      </c>
      <c r="B185" s="4">
        <v>40552</v>
      </c>
      <c r="C185">
        <v>1</v>
      </c>
      <c r="D185">
        <v>0</v>
      </c>
      <c r="E185">
        <v>1</v>
      </c>
      <c r="F185">
        <v>9</v>
      </c>
      <c r="G185" t="b">
        <v>0</v>
      </c>
      <c r="H185">
        <v>0</v>
      </c>
      <c r="I185">
        <v>1</v>
      </c>
      <c r="J185">
        <v>0.12</v>
      </c>
      <c r="K185">
        <v>195</v>
      </c>
      <c r="L185">
        <v>7.5800000000000006E-2</v>
      </c>
      <c r="M185">
        <v>0.46</v>
      </c>
      <c r="N185">
        <v>0.52239999999999998</v>
      </c>
      <c r="O185">
        <v>0</v>
      </c>
      <c r="P185">
        <v>19</v>
      </c>
      <c r="Q185">
        <v>19</v>
      </c>
    </row>
    <row r="186" spans="1:17" x14ac:dyDescent="0.3">
      <c r="A186">
        <v>196</v>
      </c>
      <c r="B186" s="4">
        <v>40552</v>
      </c>
      <c r="C186">
        <v>1</v>
      </c>
      <c r="D186">
        <v>0</v>
      </c>
      <c r="E186">
        <v>1</v>
      </c>
      <c r="F186">
        <v>10</v>
      </c>
      <c r="G186" t="b">
        <v>0</v>
      </c>
      <c r="H186">
        <v>0</v>
      </c>
      <c r="I186">
        <v>1</v>
      </c>
      <c r="J186">
        <v>0.14000000000000001</v>
      </c>
      <c r="K186">
        <v>196</v>
      </c>
      <c r="L186">
        <v>0.1061</v>
      </c>
      <c r="M186">
        <v>0.43</v>
      </c>
      <c r="N186">
        <v>0.3881</v>
      </c>
      <c r="O186">
        <v>0</v>
      </c>
      <c r="P186">
        <v>49</v>
      </c>
      <c r="Q186">
        <v>49</v>
      </c>
    </row>
    <row r="187" spans="1:17" x14ac:dyDescent="0.3">
      <c r="A187">
        <v>197</v>
      </c>
      <c r="B187" s="4">
        <v>40552</v>
      </c>
      <c r="C187">
        <v>1</v>
      </c>
      <c r="D187">
        <v>0</v>
      </c>
      <c r="E187">
        <v>1</v>
      </c>
      <c r="F187">
        <v>11</v>
      </c>
      <c r="G187" t="b">
        <v>0</v>
      </c>
      <c r="H187">
        <v>0</v>
      </c>
      <c r="I187">
        <v>1</v>
      </c>
      <c r="J187">
        <v>0.16</v>
      </c>
      <c r="K187">
        <v>197</v>
      </c>
      <c r="L187">
        <v>0.1212</v>
      </c>
      <c r="M187">
        <v>0.4</v>
      </c>
      <c r="N187">
        <v>0.52239999999999998</v>
      </c>
      <c r="O187">
        <v>2</v>
      </c>
      <c r="P187">
        <v>47</v>
      </c>
      <c r="Q187">
        <v>49</v>
      </c>
    </row>
    <row r="188" spans="1:17" x14ac:dyDescent="0.3">
      <c r="A188">
        <v>198</v>
      </c>
      <c r="B188" s="4">
        <v>40552</v>
      </c>
      <c r="C188">
        <v>1</v>
      </c>
      <c r="D188">
        <v>0</v>
      </c>
      <c r="E188">
        <v>1</v>
      </c>
      <c r="F188">
        <v>12</v>
      </c>
      <c r="G188" t="b">
        <v>0</v>
      </c>
      <c r="H188">
        <v>0</v>
      </c>
      <c r="I188">
        <v>1</v>
      </c>
      <c r="J188">
        <v>0.18</v>
      </c>
      <c r="K188">
        <v>198</v>
      </c>
      <c r="L188">
        <v>0.13639999999999999</v>
      </c>
      <c r="M188">
        <v>0.37</v>
      </c>
      <c r="N188">
        <v>0.44779999999999998</v>
      </c>
      <c r="O188">
        <v>4</v>
      </c>
      <c r="P188">
        <v>79</v>
      </c>
      <c r="Q188">
        <v>83</v>
      </c>
    </row>
    <row r="189" spans="1:17" x14ac:dyDescent="0.3">
      <c r="A189">
        <v>199</v>
      </c>
      <c r="B189" s="4">
        <v>40552</v>
      </c>
      <c r="C189">
        <v>1</v>
      </c>
      <c r="D189">
        <v>0</v>
      </c>
      <c r="E189">
        <v>1</v>
      </c>
      <c r="F189">
        <v>13</v>
      </c>
      <c r="G189" t="b">
        <v>0</v>
      </c>
      <c r="H189">
        <v>0</v>
      </c>
      <c r="I189">
        <v>1</v>
      </c>
      <c r="J189">
        <v>0.2</v>
      </c>
      <c r="K189">
        <v>199</v>
      </c>
      <c r="L189">
        <v>0.16669999999999999</v>
      </c>
      <c r="M189">
        <v>0.34</v>
      </c>
      <c r="N189">
        <v>0.44779999999999998</v>
      </c>
      <c r="O189">
        <v>6</v>
      </c>
      <c r="P189">
        <v>69</v>
      </c>
      <c r="Q189">
        <v>75</v>
      </c>
    </row>
    <row r="190" spans="1:17" x14ac:dyDescent="0.3">
      <c r="A190">
        <v>200</v>
      </c>
      <c r="B190" s="4">
        <v>40552</v>
      </c>
      <c r="C190">
        <v>1</v>
      </c>
      <c r="D190">
        <v>0</v>
      </c>
      <c r="E190">
        <v>1</v>
      </c>
      <c r="F190">
        <v>14</v>
      </c>
      <c r="G190" t="b">
        <v>0</v>
      </c>
      <c r="H190">
        <v>0</v>
      </c>
      <c r="I190">
        <v>1</v>
      </c>
      <c r="J190">
        <v>0.22</v>
      </c>
      <c r="K190">
        <v>200</v>
      </c>
      <c r="L190">
        <v>0.18179999999999999</v>
      </c>
      <c r="M190">
        <v>0.32</v>
      </c>
      <c r="N190">
        <v>0.4627</v>
      </c>
      <c r="O190">
        <v>8</v>
      </c>
      <c r="P190">
        <v>64</v>
      </c>
      <c r="Q190">
        <v>72</v>
      </c>
    </row>
    <row r="191" spans="1:17" x14ac:dyDescent="0.3">
      <c r="A191">
        <v>201</v>
      </c>
      <c r="B191" s="4">
        <v>40552</v>
      </c>
      <c r="C191">
        <v>1</v>
      </c>
      <c r="D191">
        <v>0</v>
      </c>
      <c r="E191">
        <v>1</v>
      </c>
      <c r="F191">
        <v>15</v>
      </c>
      <c r="G191" t="b">
        <v>0</v>
      </c>
      <c r="H191">
        <v>0</v>
      </c>
      <c r="I191">
        <v>1</v>
      </c>
      <c r="J191">
        <v>0.22</v>
      </c>
      <c r="K191">
        <v>201</v>
      </c>
      <c r="L191">
        <v>0.19700000000000001</v>
      </c>
      <c r="M191">
        <v>0.35</v>
      </c>
      <c r="N191">
        <v>0.35820000000000002</v>
      </c>
      <c r="O191">
        <v>5</v>
      </c>
      <c r="P191">
        <v>77</v>
      </c>
      <c r="Q191">
        <v>82</v>
      </c>
    </row>
    <row r="192" spans="1:17" x14ac:dyDescent="0.3">
      <c r="A192">
        <v>202</v>
      </c>
      <c r="B192" s="4">
        <v>40552</v>
      </c>
      <c r="C192">
        <v>1</v>
      </c>
      <c r="D192">
        <v>0</v>
      </c>
      <c r="E192">
        <v>1</v>
      </c>
      <c r="F192">
        <v>16</v>
      </c>
      <c r="G192" t="b">
        <v>0</v>
      </c>
      <c r="H192">
        <v>0</v>
      </c>
      <c r="I192">
        <v>1</v>
      </c>
      <c r="J192">
        <v>0.2</v>
      </c>
      <c r="K192">
        <v>202</v>
      </c>
      <c r="L192">
        <v>0.16669999999999999</v>
      </c>
      <c r="M192">
        <v>0.34</v>
      </c>
      <c r="N192">
        <v>0.44779999999999998</v>
      </c>
      <c r="O192">
        <v>13</v>
      </c>
      <c r="P192">
        <v>79</v>
      </c>
      <c r="Q192">
        <v>92</v>
      </c>
    </row>
    <row r="193" spans="1:17" x14ac:dyDescent="0.3">
      <c r="A193">
        <v>203</v>
      </c>
      <c r="B193" s="4">
        <v>40552</v>
      </c>
      <c r="C193">
        <v>1</v>
      </c>
      <c r="D193">
        <v>0</v>
      </c>
      <c r="E193">
        <v>1</v>
      </c>
      <c r="F193">
        <v>17</v>
      </c>
      <c r="G193" t="b">
        <v>0</v>
      </c>
      <c r="H193">
        <v>0</v>
      </c>
      <c r="I193">
        <v>1</v>
      </c>
      <c r="J193">
        <v>0.18</v>
      </c>
      <c r="K193">
        <v>203</v>
      </c>
      <c r="L193">
        <v>0.1515</v>
      </c>
      <c r="M193">
        <v>0.37</v>
      </c>
      <c r="N193">
        <v>0.3881</v>
      </c>
      <c r="O193">
        <v>3</v>
      </c>
      <c r="P193">
        <v>59</v>
      </c>
      <c r="Q193">
        <v>62</v>
      </c>
    </row>
    <row r="194" spans="1:17" x14ac:dyDescent="0.3">
      <c r="A194">
        <v>204</v>
      </c>
      <c r="B194" s="4">
        <v>40552</v>
      </c>
      <c r="C194">
        <v>1</v>
      </c>
      <c r="D194">
        <v>0</v>
      </c>
      <c r="E194">
        <v>1</v>
      </c>
      <c r="F194">
        <v>18</v>
      </c>
      <c r="G194" t="b">
        <v>0</v>
      </c>
      <c r="H194">
        <v>0</v>
      </c>
      <c r="I194">
        <v>1</v>
      </c>
      <c r="J194">
        <v>0.16</v>
      </c>
      <c r="K194">
        <v>204</v>
      </c>
      <c r="L194">
        <v>0.13639999999999999</v>
      </c>
      <c r="M194">
        <v>0.4</v>
      </c>
      <c r="N194">
        <v>0.32840000000000003</v>
      </c>
      <c r="O194">
        <v>4</v>
      </c>
      <c r="P194">
        <v>44</v>
      </c>
      <c r="Q194">
        <v>48</v>
      </c>
    </row>
    <row r="195" spans="1:17" x14ac:dyDescent="0.3">
      <c r="A195">
        <v>205</v>
      </c>
      <c r="B195" s="4">
        <v>40552</v>
      </c>
      <c r="C195">
        <v>1</v>
      </c>
      <c r="D195">
        <v>0</v>
      </c>
      <c r="E195">
        <v>1</v>
      </c>
      <c r="F195">
        <v>19</v>
      </c>
      <c r="G195" t="b">
        <v>0</v>
      </c>
      <c r="H195">
        <v>0</v>
      </c>
      <c r="I195">
        <v>1</v>
      </c>
      <c r="J195">
        <v>0.16</v>
      </c>
      <c r="K195">
        <v>205</v>
      </c>
      <c r="L195">
        <v>0.13639999999999999</v>
      </c>
      <c r="M195">
        <v>0.43</v>
      </c>
      <c r="N195">
        <v>0.32840000000000003</v>
      </c>
      <c r="O195">
        <v>1</v>
      </c>
      <c r="P195">
        <v>40</v>
      </c>
      <c r="Q195">
        <v>41</v>
      </c>
    </row>
    <row r="196" spans="1:17" x14ac:dyDescent="0.3">
      <c r="A196">
        <v>206</v>
      </c>
      <c r="B196" s="4">
        <v>40552</v>
      </c>
      <c r="C196">
        <v>1</v>
      </c>
      <c r="D196">
        <v>0</v>
      </c>
      <c r="E196">
        <v>1</v>
      </c>
      <c r="F196">
        <v>20</v>
      </c>
      <c r="G196" t="b">
        <v>0</v>
      </c>
      <c r="H196">
        <v>0</v>
      </c>
      <c r="I196">
        <v>1</v>
      </c>
      <c r="J196">
        <v>0.14000000000000001</v>
      </c>
      <c r="K196">
        <v>206</v>
      </c>
      <c r="L196">
        <v>0.1212</v>
      </c>
      <c r="M196">
        <v>0.46</v>
      </c>
      <c r="N196">
        <v>0.25369999999999998</v>
      </c>
      <c r="O196">
        <v>0</v>
      </c>
      <c r="P196">
        <v>38</v>
      </c>
      <c r="Q196">
        <v>38</v>
      </c>
    </row>
    <row r="197" spans="1:17" x14ac:dyDescent="0.3">
      <c r="A197">
        <v>207</v>
      </c>
      <c r="B197" s="4">
        <v>40552</v>
      </c>
      <c r="C197">
        <v>1</v>
      </c>
      <c r="D197">
        <v>0</v>
      </c>
      <c r="E197">
        <v>1</v>
      </c>
      <c r="F197">
        <v>21</v>
      </c>
      <c r="G197" t="b">
        <v>0</v>
      </c>
      <c r="H197">
        <v>0</v>
      </c>
      <c r="I197">
        <v>1</v>
      </c>
      <c r="J197">
        <v>0.14000000000000001</v>
      </c>
      <c r="K197">
        <v>207</v>
      </c>
      <c r="L197">
        <v>0.1061</v>
      </c>
      <c r="M197">
        <v>0.46</v>
      </c>
      <c r="N197">
        <v>0.41789999999999999</v>
      </c>
      <c r="O197">
        <v>1</v>
      </c>
      <c r="P197">
        <v>19</v>
      </c>
      <c r="Q197">
        <v>20</v>
      </c>
    </row>
    <row r="198" spans="1:17" x14ac:dyDescent="0.3">
      <c r="A198">
        <v>208</v>
      </c>
      <c r="B198" s="4">
        <v>40552</v>
      </c>
      <c r="C198">
        <v>1</v>
      </c>
      <c r="D198">
        <v>0</v>
      </c>
      <c r="E198">
        <v>1</v>
      </c>
      <c r="F198">
        <v>22</v>
      </c>
      <c r="G198" t="b">
        <v>0</v>
      </c>
      <c r="H198">
        <v>0</v>
      </c>
      <c r="I198">
        <v>1</v>
      </c>
      <c r="J198">
        <v>0.14000000000000001</v>
      </c>
      <c r="K198">
        <v>208</v>
      </c>
      <c r="L198">
        <v>0.1212</v>
      </c>
      <c r="M198">
        <v>0.46</v>
      </c>
      <c r="N198">
        <v>0.29849999999999999</v>
      </c>
      <c r="O198">
        <v>5</v>
      </c>
      <c r="P198">
        <v>10</v>
      </c>
      <c r="Q198">
        <v>15</v>
      </c>
    </row>
    <row r="199" spans="1:17" x14ac:dyDescent="0.3">
      <c r="A199">
        <v>209</v>
      </c>
      <c r="B199" s="4">
        <v>40552</v>
      </c>
      <c r="C199">
        <v>1</v>
      </c>
      <c r="D199">
        <v>0</v>
      </c>
      <c r="E199">
        <v>1</v>
      </c>
      <c r="F199">
        <v>23</v>
      </c>
      <c r="G199" t="b">
        <v>0</v>
      </c>
      <c r="H199">
        <v>0</v>
      </c>
      <c r="I199">
        <v>1</v>
      </c>
      <c r="J199">
        <v>0.12</v>
      </c>
      <c r="K199">
        <v>209</v>
      </c>
      <c r="L199">
        <v>0.13639999999999999</v>
      </c>
      <c r="M199">
        <v>0.5</v>
      </c>
      <c r="N199">
        <v>0.19400000000000001</v>
      </c>
      <c r="O199">
        <v>0</v>
      </c>
      <c r="P199">
        <v>6</v>
      </c>
      <c r="Q199">
        <v>6</v>
      </c>
    </row>
    <row r="200" spans="1:17" x14ac:dyDescent="0.3">
      <c r="A200">
        <v>210</v>
      </c>
      <c r="B200" s="4">
        <v>40553</v>
      </c>
      <c r="C200">
        <v>1</v>
      </c>
      <c r="D200">
        <v>0</v>
      </c>
      <c r="E200">
        <v>1</v>
      </c>
      <c r="F200">
        <v>0</v>
      </c>
      <c r="G200" t="b">
        <v>0</v>
      </c>
      <c r="H200">
        <v>1</v>
      </c>
      <c r="I200">
        <v>1</v>
      </c>
      <c r="J200">
        <v>0.12</v>
      </c>
      <c r="K200">
        <v>210</v>
      </c>
      <c r="L200">
        <v>0.1212</v>
      </c>
      <c r="M200">
        <v>0.5</v>
      </c>
      <c r="N200">
        <v>0.28360000000000002</v>
      </c>
      <c r="O200">
        <v>2</v>
      </c>
      <c r="P200">
        <v>3</v>
      </c>
      <c r="Q200">
        <v>5</v>
      </c>
    </row>
    <row r="201" spans="1:17" x14ac:dyDescent="0.3">
      <c r="A201">
        <v>211</v>
      </c>
      <c r="B201" s="4">
        <v>40553</v>
      </c>
      <c r="C201">
        <v>1</v>
      </c>
      <c r="D201">
        <v>0</v>
      </c>
      <c r="E201">
        <v>1</v>
      </c>
      <c r="F201">
        <v>1</v>
      </c>
      <c r="G201" t="b">
        <v>0</v>
      </c>
      <c r="H201">
        <v>1</v>
      </c>
      <c r="I201">
        <v>1</v>
      </c>
      <c r="J201">
        <v>0.12</v>
      </c>
      <c r="K201">
        <v>211</v>
      </c>
      <c r="L201">
        <v>0.1212</v>
      </c>
      <c r="M201">
        <v>0.5</v>
      </c>
      <c r="N201">
        <v>0.28360000000000002</v>
      </c>
      <c r="O201">
        <v>1</v>
      </c>
      <c r="P201">
        <v>0</v>
      </c>
      <c r="Q201">
        <v>1</v>
      </c>
    </row>
    <row r="202" spans="1:17" x14ac:dyDescent="0.3">
      <c r="A202">
        <v>212</v>
      </c>
      <c r="B202" s="4">
        <v>40553</v>
      </c>
      <c r="C202">
        <v>1</v>
      </c>
      <c r="D202">
        <v>0</v>
      </c>
      <c r="E202">
        <v>1</v>
      </c>
      <c r="F202">
        <v>2</v>
      </c>
      <c r="G202" t="b">
        <v>0</v>
      </c>
      <c r="H202">
        <v>1</v>
      </c>
      <c r="I202">
        <v>1</v>
      </c>
      <c r="J202">
        <v>0.12</v>
      </c>
      <c r="K202">
        <v>212</v>
      </c>
      <c r="L202">
        <v>0.1212</v>
      </c>
      <c r="M202">
        <v>0.5</v>
      </c>
      <c r="N202">
        <v>0.22389999999999999</v>
      </c>
      <c r="O202">
        <v>0</v>
      </c>
      <c r="P202">
        <v>3</v>
      </c>
      <c r="Q202">
        <v>3</v>
      </c>
    </row>
    <row r="203" spans="1:17" x14ac:dyDescent="0.3">
      <c r="A203">
        <v>213</v>
      </c>
      <c r="B203" s="4">
        <v>40553</v>
      </c>
      <c r="C203">
        <v>1</v>
      </c>
      <c r="D203">
        <v>0</v>
      </c>
      <c r="E203">
        <v>1</v>
      </c>
      <c r="F203">
        <v>3</v>
      </c>
      <c r="G203" t="b">
        <v>0</v>
      </c>
      <c r="H203">
        <v>1</v>
      </c>
      <c r="I203">
        <v>1</v>
      </c>
      <c r="J203">
        <v>0.12</v>
      </c>
      <c r="K203">
        <v>213</v>
      </c>
      <c r="L203">
        <v>0.1212</v>
      </c>
      <c r="M203">
        <v>0.5</v>
      </c>
      <c r="N203">
        <v>0.22389999999999999</v>
      </c>
      <c r="O203">
        <v>0</v>
      </c>
      <c r="P203">
        <v>1</v>
      </c>
      <c r="Q203">
        <v>1</v>
      </c>
    </row>
    <row r="204" spans="1:17" x14ac:dyDescent="0.3">
      <c r="A204">
        <v>214</v>
      </c>
      <c r="B204" s="4">
        <v>40553</v>
      </c>
      <c r="C204">
        <v>1</v>
      </c>
      <c r="D204">
        <v>0</v>
      </c>
      <c r="E204">
        <v>1</v>
      </c>
      <c r="F204">
        <v>4</v>
      </c>
      <c r="G204" t="b">
        <v>0</v>
      </c>
      <c r="H204">
        <v>1</v>
      </c>
      <c r="I204">
        <v>1</v>
      </c>
      <c r="J204">
        <v>0.1</v>
      </c>
      <c r="K204">
        <v>214</v>
      </c>
      <c r="L204">
        <v>0.1212</v>
      </c>
      <c r="M204">
        <v>0.54</v>
      </c>
      <c r="N204">
        <v>0.1343</v>
      </c>
      <c r="O204">
        <v>1</v>
      </c>
      <c r="P204">
        <v>2</v>
      </c>
      <c r="Q204">
        <v>3</v>
      </c>
    </row>
    <row r="205" spans="1:17" x14ac:dyDescent="0.3">
      <c r="A205">
        <v>215</v>
      </c>
      <c r="B205" s="4">
        <v>40553</v>
      </c>
      <c r="C205">
        <v>1</v>
      </c>
      <c r="D205">
        <v>0</v>
      </c>
      <c r="E205">
        <v>1</v>
      </c>
      <c r="F205">
        <v>5</v>
      </c>
      <c r="G205" t="b">
        <v>0</v>
      </c>
      <c r="H205">
        <v>1</v>
      </c>
      <c r="I205">
        <v>1</v>
      </c>
      <c r="J205">
        <v>0.1</v>
      </c>
      <c r="K205">
        <v>215</v>
      </c>
      <c r="L205">
        <v>0.1061</v>
      </c>
      <c r="M205">
        <v>0.54</v>
      </c>
      <c r="N205">
        <v>0.25369999999999998</v>
      </c>
      <c r="O205">
        <v>0</v>
      </c>
      <c r="P205">
        <v>3</v>
      </c>
      <c r="Q205">
        <v>3</v>
      </c>
    </row>
    <row r="206" spans="1:17" x14ac:dyDescent="0.3">
      <c r="A206">
        <v>216</v>
      </c>
      <c r="B206" s="4">
        <v>40553</v>
      </c>
      <c r="C206">
        <v>1</v>
      </c>
      <c r="D206">
        <v>0</v>
      </c>
      <c r="E206">
        <v>1</v>
      </c>
      <c r="F206">
        <v>6</v>
      </c>
      <c r="G206" t="b">
        <v>0</v>
      </c>
      <c r="H206">
        <v>1</v>
      </c>
      <c r="I206">
        <v>1</v>
      </c>
      <c r="J206">
        <v>0.12</v>
      </c>
      <c r="K206">
        <v>216</v>
      </c>
      <c r="L206">
        <v>0.1212</v>
      </c>
      <c r="M206">
        <v>0.5</v>
      </c>
      <c r="N206">
        <v>0.28360000000000002</v>
      </c>
      <c r="O206">
        <v>0</v>
      </c>
      <c r="P206">
        <v>31</v>
      </c>
      <c r="Q206">
        <v>31</v>
      </c>
    </row>
    <row r="207" spans="1:17" x14ac:dyDescent="0.3">
      <c r="A207">
        <v>217</v>
      </c>
      <c r="B207" s="4">
        <v>40553</v>
      </c>
      <c r="C207">
        <v>1</v>
      </c>
      <c r="D207">
        <v>0</v>
      </c>
      <c r="E207">
        <v>1</v>
      </c>
      <c r="F207">
        <v>7</v>
      </c>
      <c r="G207" t="b">
        <v>0</v>
      </c>
      <c r="H207">
        <v>1</v>
      </c>
      <c r="I207">
        <v>1</v>
      </c>
      <c r="J207">
        <v>0.12</v>
      </c>
      <c r="K207">
        <v>217</v>
      </c>
      <c r="L207">
        <v>0.1212</v>
      </c>
      <c r="M207">
        <v>0.5</v>
      </c>
      <c r="N207">
        <v>0.22389999999999999</v>
      </c>
      <c r="O207">
        <v>2</v>
      </c>
      <c r="P207">
        <v>75</v>
      </c>
      <c r="Q207">
        <v>77</v>
      </c>
    </row>
    <row r="208" spans="1:17" x14ac:dyDescent="0.3">
      <c r="A208">
        <v>218</v>
      </c>
      <c r="B208" s="4">
        <v>40553</v>
      </c>
      <c r="C208">
        <v>1</v>
      </c>
      <c r="D208">
        <v>0</v>
      </c>
      <c r="E208">
        <v>1</v>
      </c>
      <c r="F208">
        <v>8</v>
      </c>
      <c r="G208" t="b">
        <v>0</v>
      </c>
      <c r="H208">
        <v>1</v>
      </c>
      <c r="I208">
        <v>2</v>
      </c>
      <c r="J208">
        <v>0.12</v>
      </c>
      <c r="K208">
        <v>218</v>
      </c>
      <c r="L208">
        <v>0.1212</v>
      </c>
      <c r="M208">
        <v>0.5</v>
      </c>
      <c r="N208">
        <v>0.28360000000000002</v>
      </c>
      <c r="O208">
        <v>4</v>
      </c>
      <c r="P208">
        <v>184</v>
      </c>
      <c r="Q208">
        <v>188</v>
      </c>
    </row>
    <row r="209" spans="1:17" x14ac:dyDescent="0.3">
      <c r="A209">
        <v>219</v>
      </c>
      <c r="B209" s="4">
        <v>40553</v>
      </c>
      <c r="C209">
        <v>1</v>
      </c>
      <c r="D209">
        <v>0</v>
      </c>
      <c r="E209">
        <v>1</v>
      </c>
      <c r="F209">
        <v>9</v>
      </c>
      <c r="G209" t="b">
        <v>0</v>
      </c>
      <c r="H209">
        <v>1</v>
      </c>
      <c r="I209">
        <v>2</v>
      </c>
      <c r="J209">
        <v>0.14000000000000001</v>
      </c>
      <c r="K209">
        <v>219</v>
      </c>
      <c r="L209">
        <v>0.1212</v>
      </c>
      <c r="M209">
        <v>0.5</v>
      </c>
      <c r="N209">
        <v>0.25369999999999998</v>
      </c>
      <c r="O209">
        <v>2</v>
      </c>
      <c r="P209">
        <v>92</v>
      </c>
      <c r="Q209">
        <v>94</v>
      </c>
    </row>
    <row r="210" spans="1:17" x14ac:dyDescent="0.3">
      <c r="A210">
        <v>220</v>
      </c>
      <c r="B210" s="4">
        <v>40553</v>
      </c>
      <c r="C210">
        <v>1</v>
      </c>
      <c r="D210">
        <v>0</v>
      </c>
      <c r="E210">
        <v>1</v>
      </c>
      <c r="F210">
        <v>10</v>
      </c>
      <c r="G210" t="b">
        <v>0</v>
      </c>
      <c r="H210">
        <v>1</v>
      </c>
      <c r="I210">
        <v>2</v>
      </c>
      <c r="J210">
        <v>0.14000000000000001</v>
      </c>
      <c r="K210">
        <v>220</v>
      </c>
      <c r="L210">
        <v>0.1212</v>
      </c>
      <c r="M210">
        <v>0.5</v>
      </c>
      <c r="N210">
        <v>0.29849999999999999</v>
      </c>
      <c r="O210">
        <v>0</v>
      </c>
      <c r="P210">
        <v>31</v>
      </c>
      <c r="Q210">
        <v>31</v>
      </c>
    </row>
    <row r="211" spans="1:17" x14ac:dyDescent="0.3">
      <c r="A211">
        <v>221</v>
      </c>
      <c r="B211" s="4">
        <v>40553</v>
      </c>
      <c r="C211">
        <v>1</v>
      </c>
      <c r="D211">
        <v>0</v>
      </c>
      <c r="E211">
        <v>1</v>
      </c>
      <c r="F211">
        <v>11</v>
      </c>
      <c r="G211" t="b">
        <v>0</v>
      </c>
      <c r="H211">
        <v>1</v>
      </c>
      <c r="I211">
        <v>2</v>
      </c>
      <c r="J211">
        <v>0.16</v>
      </c>
      <c r="K211">
        <v>221</v>
      </c>
      <c r="L211">
        <v>0.13639999999999999</v>
      </c>
      <c r="M211">
        <v>0.47</v>
      </c>
      <c r="N211">
        <v>0.28360000000000002</v>
      </c>
      <c r="O211">
        <v>2</v>
      </c>
      <c r="P211">
        <v>28</v>
      </c>
      <c r="Q211">
        <v>30</v>
      </c>
    </row>
    <row r="212" spans="1:17" x14ac:dyDescent="0.3">
      <c r="A212">
        <v>222</v>
      </c>
      <c r="B212" s="4">
        <v>40553</v>
      </c>
      <c r="C212">
        <v>1</v>
      </c>
      <c r="D212">
        <v>0</v>
      </c>
      <c r="E212">
        <v>1</v>
      </c>
      <c r="F212">
        <v>12</v>
      </c>
      <c r="G212" t="b">
        <v>0</v>
      </c>
      <c r="H212">
        <v>1</v>
      </c>
      <c r="I212">
        <v>2</v>
      </c>
      <c r="J212">
        <v>0.2</v>
      </c>
      <c r="K212">
        <v>222</v>
      </c>
      <c r="L212">
        <v>0.18179999999999999</v>
      </c>
      <c r="M212">
        <v>0.4</v>
      </c>
      <c r="N212">
        <v>0.28360000000000002</v>
      </c>
      <c r="O212">
        <v>5</v>
      </c>
      <c r="P212">
        <v>47</v>
      </c>
      <c r="Q212">
        <v>52</v>
      </c>
    </row>
    <row r="213" spans="1:17" x14ac:dyDescent="0.3">
      <c r="A213">
        <v>223</v>
      </c>
      <c r="B213" s="4">
        <v>40553</v>
      </c>
      <c r="C213">
        <v>1</v>
      </c>
      <c r="D213">
        <v>0</v>
      </c>
      <c r="E213">
        <v>1</v>
      </c>
      <c r="F213">
        <v>13</v>
      </c>
      <c r="G213" t="b">
        <v>0</v>
      </c>
      <c r="H213">
        <v>1</v>
      </c>
      <c r="I213">
        <v>2</v>
      </c>
      <c r="J213">
        <v>0.2</v>
      </c>
      <c r="K213">
        <v>223</v>
      </c>
      <c r="L213">
        <v>0.18179999999999999</v>
      </c>
      <c r="M213">
        <v>0.4</v>
      </c>
      <c r="N213">
        <v>0.28360000000000002</v>
      </c>
      <c r="O213">
        <v>4</v>
      </c>
      <c r="P213">
        <v>50</v>
      </c>
      <c r="Q213">
        <v>54</v>
      </c>
    </row>
    <row r="214" spans="1:17" x14ac:dyDescent="0.3">
      <c r="A214">
        <v>224</v>
      </c>
      <c r="B214" s="4">
        <v>40553</v>
      </c>
      <c r="C214">
        <v>1</v>
      </c>
      <c r="D214">
        <v>0</v>
      </c>
      <c r="E214">
        <v>1</v>
      </c>
      <c r="F214">
        <v>14</v>
      </c>
      <c r="G214" t="b">
        <v>0</v>
      </c>
      <c r="H214">
        <v>1</v>
      </c>
      <c r="I214">
        <v>2</v>
      </c>
      <c r="J214">
        <v>0.2</v>
      </c>
      <c r="K214">
        <v>224</v>
      </c>
      <c r="L214">
        <v>0.19700000000000001</v>
      </c>
      <c r="M214">
        <v>0.4</v>
      </c>
      <c r="N214">
        <v>0.22389999999999999</v>
      </c>
      <c r="O214">
        <v>0</v>
      </c>
      <c r="P214">
        <v>47</v>
      </c>
      <c r="Q214">
        <v>47</v>
      </c>
    </row>
    <row r="215" spans="1:17" x14ac:dyDescent="0.3">
      <c r="A215">
        <v>225</v>
      </c>
      <c r="B215" s="4">
        <v>40553</v>
      </c>
      <c r="C215">
        <v>1</v>
      </c>
      <c r="D215">
        <v>0</v>
      </c>
      <c r="E215">
        <v>1</v>
      </c>
      <c r="F215">
        <v>15</v>
      </c>
      <c r="G215" t="b">
        <v>0</v>
      </c>
      <c r="H215">
        <v>1</v>
      </c>
      <c r="I215">
        <v>2</v>
      </c>
      <c r="J215">
        <v>0.2</v>
      </c>
      <c r="K215">
        <v>225</v>
      </c>
      <c r="L215">
        <v>0.19700000000000001</v>
      </c>
      <c r="M215">
        <v>0.4</v>
      </c>
      <c r="N215">
        <v>0.22389999999999999</v>
      </c>
      <c r="O215">
        <v>2</v>
      </c>
      <c r="P215">
        <v>43</v>
      </c>
      <c r="Q215">
        <v>45</v>
      </c>
    </row>
    <row r="216" spans="1:17" x14ac:dyDescent="0.3">
      <c r="A216">
        <v>226</v>
      </c>
      <c r="B216" s="4">
        <v>40553</v>
      </c>
      <c r="C216">
        <v>1</v>
      </c>
      <c r="D216">
        <v>0</v>
      </c>
      <c r="E216">
        <v>1</v>
      </c>
      <c r="F216">
        <v>16</v>
      </c>
      <c r="G216" t="b">
        <v>0</v>
      </c>
      <c r="H216">
        <v>1</v>
      </c>
      <c r="I216">
        <v>1</v>
      </c>
      <c r="J216">
        <v>0.2</v>
      </c>
      <c r="K216">
        <v>226</v>
      </c>
      <c r="L216">
        <v>0.21210000000000001</v>
      </c>
      <c r="M216">
        <v>0.4</v>
      </c>
      <c r="N216">
        <v>0.1343</v>
      </c>
      <c r="O216">
        <v>4</v>
      </c>
      <c r="P216">
        <v>70</v>
      </c>
      <c r="Q216">
        <v>74</v>
      </c>
    </row>
    <row r="217" spans="1:17" x14ac:dyDescent="0.3">
      <c r="A217">
        <v>227</v>
      </c>
      <c r="B217" s="4">
        <v>40553</v>
      </c>
      <c r="C217">
        <v>1</v>
      </c>
      <c r="D217">
        <v>0</v>
      </c>
      <c r="E217">
        <v>1</v>
      </c>
      <c r="F217">
        <v>17</v>
      </c>
      <c r="G217" t="b">
        <v>0</v>
      </c>
      <c r="H217">
        <v>1</v>
      </c>
      <c r="I217">
        <v>1</v>
      </c>
      <c r="J217">
        <v>0.2</v>
      </c>
      <c r="K217">
        <v>227</v>
      </c>
      <c r="L217">
        <v>0.2273</v>
      </c>
      <c r="M217">
        <v>0.4</v>
      </c>
      <c r="N217">
        <v>0.1045</v>
      </c>
      <c r="O217">
        <v>4</v>
      </c>
      <c r="P217">
        <v>174</v>
      </c>
      <c r="Q217">
        <v>178</v>
      </c>
    </row>
    <row r="218" spans="1:17" x14ac:dyDescent="0.3">
      <c r="A218">
        <v>228</v>
      </c>
      <c r="B218" s="4">
        <v>40553</v>
      </c>
      <c r="C218">
        <v>1</v>
      </c>
      <c r="D218">
        <v>0</v>
      </c>
      <c r="E218">
        <v>1</v>
      </c>
      <c r="F218">
        <v>18</v>
      </c>
      <c r="G218" t="b">
        <v>0</v>
      </c>
      <c r="H218">
        <v>1</v>
      </c>
      <c r="I218">
        <v>1</v>
      </c>
      <c r="J218">
        <v>0.2</v>
      </c>
      <c r="K218">
        <v>228</v>
      </c>
      <c r="L218">
        <v>0.19700000000000001</v>
      </c>
      <c r="M218">
        <v>0.4</v>
      </c>
      <c r="N218">
        <v>0.22389999999999999</v>
      </c>
      <c r="O218">
        <v>1</v>
      </c>
      <c r="P218">
        <v>154</v>
      </c>
      <c r="Q218">
        <v>155</v>
      </c>
    </row>
    <row r="219" spans="1:17" x14ac:dyDescent="0.3">
      <c r="A219">
        <v>229</v>
      </c>
      <c r="B219" s="4">
        <v>40553</v>
      </c>
      <c r="C219">
        <v>1</v>
      </c>
      <c r="D219">
        <v>0</v>
      </c>
      <c r="E219">
        <v>1</v>
      </c>
      <c r="F219">
        <v>19</v>
      </c>
      <c r="G219" t="b">
        <v>0</v>
      </c>
      <c r="H219">
        <v>1</v>
      </c>
      <c r="I219">
        <v>1</v>
      </c>
      <c r="J219">
        <v>0.16</v>
      </c>
      <c r="K219">
        <v>229</v>
      </c>
      <c r="L219">
        <v>0.16669999999999999</v>
      </c>
      <c r="M219">
        <v>0.47</v>
      </c>
      <c r="N219">
        <v>0.16420000000000001</v>
      </c>
      <c r="O219">
        <v>3</v>
      </c>
      <c r="P219">
        <v>92</v>
      </c>
      <c r="Q219">
        <v>95</v>
      </c>
    </row>
    <row r="220" spans="1:17" x14ac:dyDescent="0.3">
      <c r="A220">
        <v>230</v>
      </c>
      <c r="B220" s="4">
        <v>40553</v>
      </c>
      <c r="C220">
        <v>1</v>
      </c>
      <c r="D220">
        <v>0</v>
      </c>
      <c r="E220">
        <v>1</v>
      </c>
      <c r="F220">
        <v>20</v>
      </c>
      <c r="G220" t="b">
        <v>0</v>
      </c>
      <c r="H220">
        <v>1</v>
      </c>
      <c r="I220">
        <v>1</v>
      </c>
      <c r="J220">
        <v>0.16</v>
      </c>
      <c r="K220">
        <v>230</v>
      </c>
      <c r="L220">
        <v>0.16669999999999999</v>
      </c>
      <c r="M220">
        <v>0.5</v>
      </c>
      <c r="N220">
        <v>0.16420000000000001</v>
      </c>
      <c r="O220">
        <v>1</v>
      </c>
      <c r="P220">
        <v>73</v>
      </c>
      <c r="Q220">
        <v>74</v>
      </c>
    </row>
    <row r="221" spans="1:17" x14ac:dyDescent="0.3">
      <c r="A221">
        <v>231</v>
      </c>
      <c r="B221" s="4">
        <v>40553</v>
      </c>
      <c r="C221">
        <v>1</v>
      </c>
      <c r="D221">
        <v>0</v>
      </c>
      <c r="E221">
        <v>1</v>
      </c>
      <c r="F221">
        <v>21</v>
      </c>
      <c r="G221" t="b">
        <v>0</v>
      </c>
      <c r="H221">
        <v>1</v>
      </c>
      <c r="I221">
        <v>1</v>
      </c>
      <c r="J221">
        <v>0.14000000000000001</v>
      </c>
      <c r="K221">
        <v>231</v>
      </c>
      <c r="L221">
        <v>0.13639999999999999</v>
      </c>
      <c r="M221">
        <v>0.59</v>
      </c>
      <c r="N221">
        <v>0.19400000000000001</v>
      </c>
      <c r="O221">
        <v>1</v>
      </c>
      <c r="P221">
        <v>37</v>
      </c>
      <c r="Q221">
        <v>38</v>
      </c>
    </row>
    <row r="222" spans="1:17" x14ac:dyDescent="0.3">
      <c r="A222">
        <v>232</v>
      </c>
      <c r="B222" s="4">
        <v>40553</v>
      </c>
      <c r="C222">
        <v>1</v>
      </c>
      <c r="D222">
        <v>0</v>
      </c>
      <c r="E222">
        <v>1</v>
      </c>
      <c r="F222">
        <v>22</v>
      </c>
      <c r="G222" t="b">
        <v>0</v>
      </c>
      <c r="H222">
        <v>1</v>
      </c>
      <c r="I222">
        <v>1</v>
      </c>
      <c r="J222">
        <v>0.14000000000000001</v>
      </c>
      <c r="K222">
        <v>232</v>
      </c>
      <c r="L222">
        <v>0.1515</v>
      </c>
      <c r="M222">
        <v>0.59</v>
      </c>
      <c r="N222">
        <v>0.16420000000000001</v>
      </c>
      <c r="O222">
        <v>2</v>
      </c>
      <c r="P222">
        <v>22</v>
      </c>
      <c r="Q222">
        <v>24</v>
      </c>
    </row>
    <row r="223" spans="1:17" x14ac:dyDescent="0.3">
      <c r="A223">
        <v>233</v>
      </c>
      <c r="B223" s="4">
        <v>40553</v>
      </c>
      <c r="C223">
        <v>1</v>
      </c>
      <c r="D223">
        <v>0</v>
      </c>
      <c r="E223">
        <v>1</v>
      </c>
      <c r="F223">
        <v>23</v>
      </c>
      <c r="G223" t="b">
        <v>0</v>
      </c>
      <c r="H223">
        <v>1</v>
      </c>
      <c r="I223">
        <v>1</v>
      </c>
      <c r="J223">
        <v>0.14000000000000001</v>
      </c>
      <c r="K223">
        <v>233</v>
      </c>
      <c r="L223">
        <v>0.1515</v>
      </c>
      <c r="M223">
        <v>0.59</v>
      </c>
      <c r="N223">
        <v>0.16420000000000001</v>
      </c>
      <c r="O223">
        <v>0</v>
      </c>
      <c r="P223">
        <v>18</v>
      </c>
      <c r="Q223">
        <v>18</v>
      </c>
    </row>
    <row r="224" spans="1:17" x14ac:dyDescent="0.3">
      <c r="A224">
        <v>234</v>
      </c>
      <c r="B224" s="4">
        <v>40554</v>
      </c>
      <c r="C224">
        <v>1</v>
      </c>
      <c r="D224">
        <v>0</v>
      </c>
      <c r="E224">
        <v>1</v>
      </c>
      <c r="F224">
        <v>0</v>
      </c>
      <c r="G224" t="b">
        <v>0</v>
      </c>
      <c r="H224">
        <v>2</v>
      </c>
      <c r="I224">
        <v>1</v>
      </c>
      <c r="J224">
        <v>0.14000000000000001</v>
      </c>
      <c r="K224">
        <v>234</v>
      </c>
      <c r="L224">
        <v>0.16669999999999999</v>
      </c>
      <c r="M224">
        <v>0.59</v>
      </c>
      <c r="N224">
        <v>0.1045</v>
      </c>
      <c r="O224">
        <v>2</v>
      </c>
      <c r="P224">
        <v>10</v>
      </c>
      <c r="Q224">
        <v>12</v>
      </c>
    </row>
    <row r="225" spans="1:17" x14ac:dyDescent="0.3">
      <c r="A225">
        <v>235</v>
      </c>
      <c r="B225" s="4">
        <v>40554</v>
      </c>
      <c r="C225">
        <v>1</v>
      </c>
      <c r="D225">
        <v>0</v>
      </c>
      <c r="E225">
        <v>1</v>
      </c>
      <c r="F225">
        <v>1</v>
      </c>
      <c r="G225" t="b">
        <v>0</v>
      </c>
      <c r="H225">
        <v>2</v>
      </c>
      <c r="I225">
        <v>1</v>
      </c>
      <c r="J225">
        <v>0.14000000000000001</v>
      </c>
      <c r="K225">
        <v>235</v>
      </c>
      <c r="L225">
        <v>0.1515</v>
      </c>
      <c r="M225">
        <v>0.59</v>
      </c>
      <c r="N225">
        <v>0.16420000000000001</v>
      </c>
      <c r="O225">
        <v>0</v>
      </c>
      <c r="P225">
        <v>3</v>
      </c>
      <c r="Q225">
        <v>3</v>
      </c>
    </row>
    <row r="226" spans="1:17" x14ac:dyDescent="0.3">
      <c r="A226">
        <v>236</v>
      </c>
      <c r="B226" s="4">
        <v>40554</v>
      </c>
      <c r="C226">
        <v>1</v>
      </c>
      <c r="D226">
        <v>0</v>
      </c>
      <c r="E226">
        <v>1</v>
      </c>
      <c r="F226">
        <v>2</v>
      </c>
      <c r="G226" t="b">
        <v>0</v>
      </c>
      <c r="H226">
        <v>2</v>
      </c>
      <c r="I226">
        <v>2</v>
      </c>
      <c r="J226">
        <v>0.16</v>
      </c>
      <c r="K226">
        <v>236</v>
      </c>
      <c r="L226">
        <v>0.1515</v>
      </c>
      <c r="M226">
        <v>0.55000000000000004</v>
      </c>
      <c r="N226">
        <v>0.19400000000000001</v>
      </c>
      <c r="O226">
        <v>0</v>
      </c>
      <c r="P226">
        <v>3</v>
      </c>
      <c r="Q226">
        <v>3</v>
      </c>
    </row>
    <row r="227" spans="1:17" x14ac:dyDescent="0.3">
      <c r="A227">
        <v>237</v>
      </c>
      <c r="B227" s="4">
        <v>40554</v>
      </c>
      <c r="C227">
        <v>1</v>
      </c>
      <c r="D227">
        <v>0</v>
      </c>
      <c r="E227">
        <v>1</v>
      </c>
      <c r="F227">
        <v>5</v>
      </c>
      <c r="G227" t="b">
        <v>0</v>
      </c>
      <c r="H227">
        <v>2</v>
      </c>
      <c r="I227">
        <v>2</v>
      </c>
      <c r="J227">
        <v>0.16</v>
      </c>
      <c r="K227">
        <v>237</v>
      </c>
      <c r="L227">
        <v>0.18179999999999999</v>
      </c>
      <c r="M227">
        <v>0.55000000000000004</v>
      </c>
      <c r="N227">
        <v>0.1343</v>
      </c>
      <c r="O227">
        <v>0</v>
      </c>
      <c r="P227">
        <v>6</v>
      </c>
      <c r="Q227">
        <v>6</v>
      </c>
    </row>
    <row r="228" spans="1:17" x14ac:dyDescent="0.3">
      <c r="A228">
        <v>238</v>
      </c>
      <c r="B228" s="4">
        <v>40554</v>
      </c>
      <c r="C228">
        <v>1</v>
      </c>
      <c r="D228">
        <v>0</v>
      </c>
      <c r="E228">
        <v>1</v>
      </c>
      <c r="F228">
        <v>6</v>
      </c>
      <c r="G228" t="b">
        <v>0</v>
      </c>
      <c r="H228">
        <v>2</v>
      </c>
      <c r="I228">
        <v>2</v>
      </c>
      <c r="J228">
        <v>0.16</v>
      </c>
      <c r="K228">
        <v>238</v>
      </c>
      <c r="L228">
        <v>0.18179999999999999</v>
      </c>
      <c r="M228">
        <v>0.55000000000000004</v>
      </c>
      <c r="N228">
        <v>0.1343</v>
      </c>
      <c r="O228">
        <v>0</v>
      </c>
      <c r="P228">
        <v>27</v>
      </c>
      <c r="Q228">
        <v>27</v>
      </c>
    </row>
    <row r="229" spans="1:17" x14ac:dyDescent="0.3">
      <c r="A229">
        <v>239</v>
      </c>
      <c r="B229" s="4">
        <v>40554</v>
      </c>
      <c r="C229">
        <v>1</v>
      </c>
      <c r="D229">
        <v>0</v>
      </c>
      <c r="E229">
        <v>1</v>
      </c>
      <c r="F229">
        <v>7</v>
      </c>
      <c r="G229" t="b">
        <v>0</v>
      </c>
      <c r="H229">
        <v>2</v>
      </c>
      <c r="I229">
        <v>2</v>
      </c>
      <c r="J229">
        <v>0.16</v>
      </c>
      <c r="K229">
        <v>239</v>
      </c>
      <c r="L229">
        <v>0.2273</v>
      </c>
      <c r="M229">
        <v>0.55000000000000004</v>
      </c>
      <c r="N229">
        <v>0</v>
      </c>
      <c r="O229">
        <v>2</v>
      </c>
      <c r="P229">
        <v>97</v>
      </c>
      <c r="Q229">
        <v>99</v>
      </c>
    </row>
    <row r="230" spans="1:17" x14ac:dyDescent="0.3">
      <c r="A230">
        <v>240</v>
      </c>
      <c r="B230" s="4">
        <v>40554</v>
      </c>
      <c r="C230">
        <v>1</v>
      </c>
      <c r="D230">
        <v>0</v>
      </c>
      <c r="E230">
        <v>1</v>
      </c>
      <c r="F230">
        <v>8</v>
      </c>
      <c r="G230" t="b">
        <v>0</v>
      </c>
      <c r="H230">
        <v>2</v>
      </c>
      <c r="I230">
        <v>2</v>
      </c>
      <c r="J230">
        <v>0.18</v>
      </c>
      <c r="K230">
        <v>240</v>
      </c>
      <c r="L230">
        <v>0.21210000000000001</v>
      </c>
      <c r="M230">
        <v>0.51</v>
      </c>
      <c r="N230">
        <v>8.9599999999999999E-2</v>
      </c>
      <c r="O230">
        <v>3</v>
      </c>
      <c r="P230">
        <v>214</v>
      </c>
      <c r="Q230">
        <v>217</v>
      </c>
    </row>
    <row r="231" spans="1:17" x14ac:dyDescent="0.3">
      <c r="A231">
        <v>241</v>
      </c>
      <c r="B231" s="4">
        <v>40554</v>
      </c>
      <c r="C231">
        <v>1</v>
      </c>
      <c r="D231">
        <v>0</v>
      </c>
      <c r="E231">
        <v>1</v>
      </c>
      <c r="F231">
        <v>9</v>
      </c>
      <c r="G231" t="b">
        <v>0</v>
      </c>
      <c r="H231">
        <v>2</v>
      </c>
      <c r="I231">
        <v>2</v>
      </c>
      <c r="J231">
        <v>0.18</v>
      </c>
      <c r="K231">
        <v>241</v>
      </c>
      <c r="L231">
        <v>0.19700000000000001</v>
      </c>
      <c r="M231">
        <v>0.51</v>
      </c>
      <c r="N231">
        <v>0.16420000000000001</v>
      </c>
      <c r="O231">
        <v>3</v>
      </c>
      <c r="P231">
        <v>127</v>
      </c>
      <c r="Q231">
        <v>130</v>
      </c>
    </row>
    <row r="232" spans="1:17" x14ac:dyDescent="0.3">
      <c r="A232">
        <v>242</v>
      </c>
      <c r="B232" s="4">
        <v>40554</v>
      </c>
      <c r="C232">
        <v>1</v>
      </c>
      <c r="D232">
        <v>0</v>
      </c>
      <c r="E232">
        <v>1</v>
      </c>
      <c r="F232">
        <v>10</v>
      </c>
      <c r="G232" t="b">
        <v>0</v>
      </c>
      <c r="H232">
        <v>2</v>
      </c>
      <c r="I232">
        <v>2</v>
      </c>
      <c r="J232">
        <v>0.2</v>
      </c>
      <c r="K232">
        <v>242</v>
      </c>
      <c r="L232">
        <v>0.21210000000000001</v>
      </c>
      <c r="M232">
        <v>0.51</v>
      </c>
      <c r="N232">
        <v>0.16420000000000001</v>
      </c>
      <c r="O232">
        <v>3</v>
      </c>
      <c r="P232">
        <v>51</v>
      </c>
      <c r="Q232">
        <v>54</v>
      </c>
    </row>
    <row r="233" spans="1:17" x14ac:dyDescent="0.3">
      <c r="A233">
        <v>243</v>
      </c>
      <c r="B233" s="4">
        <v>40554</v>
      </c>
      <c r="C233">
        <v>1</v>
      </c>
      <c r="D233">
        <v>0</v>
      </c>
      <c r="E233">
        <v>1</v>
      </c>
      <c r="F233">
        <v>11</v>
      </c>
      <c r="G233" t="b">
        <v>0</v>
      </c>
      <c r="H233">
        <v>2</v>
      </c>
      <c r="I233">
        <v>2</v>
      </c>
      <c r="J233">
        <v>0.2</v>
      </c>
      <c r="K233">
        <v>243</v>
      </c>
      <c r="L233">
        <v>0.21210000000000001</v>
      </c>
      <c r="M233">
        <v>0.47</v>
      </c>
      <c r="N233">
        <v>0.1343</v>
      </c>
      <c r="O233">
        <v>4</v>
      </c>
      <c r="P233">
        <v>31</v>
      </c>
      <c r="Q233">
        <v>35</v>
      </c>
    </row>
    <row r="234" spans="1:17" x14ac:dyDescent="0.3">
      <c r="A234">
        <v>244</v>
      </c>
      <c r="B234" s="4">
        <v>40554</v>
      </c>
      <c r="C234">
        <v>1</v>
      </c>
      <c r="D234">
        <v>0</v>
      </c>
      <c r="E234">
        <v>1</v>
      </c>
      <c r="F234">
        <v>12</v>
      </c>
      <c r="G234" t="b">
        <v>0</v>
      </c>
      <c r="H234">
        <v>2</v>
      </c>
      <c r="I234">
        <v>2</v>
      </c>
      <c r="J234">
        <v>0.2</v>
      </c>
      <c r="K234">
        <v>244</v>
      </c>
      <c r="L234">
        <v>0.2273</v>
      </c>
      <c r="M234">
        <v>0.51</v>
      </c>
      <c r="N234">
        <v>0.1045</v>
      </c>
      <c r="O234">
        <v>2</v>
      </c>
      <c r="P234">
        <v>55</v>
      </c>
      <c r="Q234">
        <v>57</v>
      </c>
    </row>
    <row r="235" spans="1:17" x14ac:dyDescent="0.3">
      <c r="A235">
        <v>245</v>
      </c>
      <c r="B235" s="4">
        <v>40554</v>
      </c>
      <c r="C235">
        <v>1</v>
      </c>
      <c r="D235">
        <v>0</v>
      </c>
      <c r="E235">
        <v>1</v>
      </c>
      <c r="F235">
        <v>13</v>
      </c>
      <c r="G235" t="b">
        <v>0</v>
      </c>
      <c r="H235">
        <v>2</v>
      </c>
      <c r="I235">
        <v>2</v>
      </c>
      <c r="J235">
        <v>0.2</v>
      </c>
      <c r="K235">
        <v>245</v>
      </c>
      <c r="L235">
        <v>0.2273</v>
      </c>
      <c r="M235">
        <v>0.59</v>
      </c>
      <c r="N235">
        <v>8.9599999999999999E-2</v>
      </c>
      <c r="O235">
        <v>6</v>
      </c>
      <c r="P235">
        <v>46</v>
      </c>
      <c r="Q235">
        <v>52</v>
      </c>
    </row>
    <row r="236" spans="1:17" x14ac:dyDescent="0.3">
      <c r="A236">
        <v>246</v>
      </c>
      <c r="B236" s="4">
        <v>40554</v>
      </c>
      <c r="C236">
        <v>1</v>
      </c>
      <c r="D236">
        <v>0</v>
      </c>
      <c r="E236">
        <v>1</v>
      </c>
      <c r="F236">
        <v>14</v>
      </c>
      <c r="G236" t="b">
        <v>0</v>
      </c>
      <c r="H236">
        <v>2</v>
      </c>
      <c r="I236">
        <v>2</v>
      </c>
      <c r="J236">
        <v>0.2</v>
      </c>
      <c r="K236">
        <v>246</v>
      </c>
      <c r="L236">
        <v>0.2273</v>
      </c>
      <c r="M236">
        <v>0.59</v>
      </c>
      <c r="N236">
        <v>8.9599999999999999E-2</v>
      </c>
      <c r="O236">
        <v>3</v>
      </c>
      <c r="P236">
        <v>60</v>
      </c>
      <c r="Q236">
        <v>63</v>
      </c>
    </row>
    <row r="237" spans="1:17" x14ac:dyDescent="0.3">
      <c r="A237">
        <v>247</v>
      </c>
      <c r="B237" s="4">
        <v>40554</v>
      </c>
      <c r="C237">
        <v>1</v>
      </c>
      <c r="D237">
        <v>0</v>
      </c>
      <c r="E237">
        <v>1</v>
      </c>
      <c r="F237">
        <v>15</v>
      </c>
      <c r="G237" t="b">
        <v>0</v>
      </c>
      <c r="H237">
        <v>2</v>
      </c>
      <c r="I237">
        <v>2</v>
      </c>
      <c r="J237">
        <v>0.16</v>
      </c>
      <c r="K237">
        <v>247</v>
      </c>
      <c r="L237">
        <v>0.19700000000000001</v>
      </c>
      <c r="M237">
        <v>0.8</v>
      </c>
      <c r="N237">
        <v>8.9599999999999999E-2</v>
      </c>
      <c r="O237">
        <v>2</v>
      </c>
      <c r="P237">
        <v>45</v>
      </c>
      <c r="Q237">
        <v>47</v>
      </c>
    </row>
    <row r="238" spans="1:17" x14ac:dyDescent="0.3">
      <c r="A238">
        <v>248</v>
      </c>
      <c r="B238" s="4">
        <v>40554</v>
      </c>
      <c r="C238">
        <v>1</v>
      </c>
      <c r="D238">
        <v>0</v>
      </c>
      <c r="E238">
        <v>1</v>
      </c>
      <c r="F238">
        <v>16</v>
      </c>
      <c r="G238" t="b">
        <v>0</v>
      </c>
      <c r="H238">
        <v>2</v>
      </c>
      <c r="I238">
        <v>2</v>
      </c>
      <c r="J238">
        <v>0.16</v>
      </c>
      <c r="K238">
        <v>248</v>
      </c>
      <c r="L238">
        <v>0.1515</v>
      </c>
      <c r="M238">
        <v>0.86</v>
      </c>
      <c r="N238">
        <v>0.22389999999999999</v>
      </c>
      <c r="O238">
        <v>4</v>
      </c>
      <c r="P238">
        <v>72</v>
      </c>
      <c r="Q238">
        <v>76</v>
      </c>
    </row>
    <row r="239" spans="1:17" x14ac:dyDescent="0.3">
      <c r="A239">
        <v>249</v>
      </c>
      <c r="B239" s="4">
        <v>40554</v>
      </c>
      <c r="C239">
        <v>1</v>
      </c>
      <c r="D239">
        <v>0</v>
      </c>
      <c r="E239">
        <v>1</v>
      </c>
      <c r="F239">
        <v>17</v>
      </c>
      <c r="G239" t="b">
        <v>0</v>
      </c>
      <c r="H239">
        <v>2</v>
      </c>
      <c r="I239">
        <v>2</v>
      </c>
      <c r="J239">
        <v>0.16</v>
      </c>
      <c r="K239">
        <v>249</v>
      </c>
      <c r="L239">
        <v>0.1515</v>
      </c>
      <c r="M239">
        <v>0.86</v>
      </c>
      <c r="N239">
        <v>0.22389999999999999</v>
      </c>
      <c r="O239">
        <v>6</v>
      </c>
      <c r="P239">
        <v>130</v>
      </c>
      <c r="Q239">
        <v>136</v>
      </c>
    </row>
    <row r="240" spans="1:17" x14ac:dyDescent="0.3">
      <c r="A240">
        <v>250</v>
      </c>
      <c r="B240" s="4">
        <v>40554</v>
      </c>
      <c r="C240">
        <v>1</v>
      </c>
      <c r="D240">
        <v>0</v>
      </c>
      <c r="E240">
        <v>1</v>
      </c>
      <c r="F240">
        <v>18</v>
      </c>
      <c r="G240" t="b">
        <v>0</v>
      </c>
      <c r="H240">
        <v>2</v>
      </c>
      <c r="I240">
        <v>3</v>
      </c>
      <c r="J240">
        <v>0.16</v>
      </c>
      <c r="K240">
        <v>250</v>
      </c>
      <c r="L240">
        <v>0.18179999999999999</v>
      </c>
      <c r="M240">
        <v>0.93</v>
      </c>
      <c r="N240">
        <v>0.1045</v>
      </c>
      <c r="O240">
        <v>1</v>
      </c>
      <c r="P240">
        <v>94</v>
      </c>
      <c r="Q240">
        <v>95</v>
      </c>
    </row>
    <row r="241" spans="1:17" x14ac:dyDescent="0.3">
      <c r="A241">
        <v>251</v>
      </c>
      <c r="B241" s="4">
        <v>40554</v>
      </c>
      <c r="C241">
        <v>1</v>
      </c>
      <c r="D241">
        <v>0</v>
      </c>
      <c r="E241">
        <v>1</v>
      </c>
      <c r="F241">
        <v>19</v>
      </c>
      <c r="G241" t="b">
        <v>0</v>
      </c>
      <c r="H241">
        <v>2</v>
      </c>
      <c r="I241">
        <v>3</v>
      </c>
      <c r="J241">
        <v>0.16</v>
      </c>
      <c r="K241">
        <v>251</v>
      </c>
      <c r="L241">
        <v>0.2273</v>
      </c>
      <c r="M241">
        <v>0.93</v>
      </c>
      <c r="N241">
        <v>0</v>
      </c>
      <c r="O241">
        <v>0</v>
      </c>
      <c r="P241">
        <v>51</v>
      </c>
      <c r="Q241">
        <v>51</v>
      </c>
    </row>
    <row r="242" spans="1:17" x14ac:dyDescent="0.3">
      <c r="A242">
        <v>252</v>
      </c>
      <c r="B242" s="4">
        <v>40554</v>
      </c>
      <c r="C242">
        <v>1</v>
      </c>
      <c r="D242">
        <v>0</v>
      </c>
      <c r="E242">
        <v>1</v>
      </c>
      <c r="F242">
        <v>20</v>
      </c>
      <c r="G242" t="b">
        <v>0</v>
      </c>
      <c r="H242">
        <v>2</v>
      </c>
      <c r="I242">
        <v>3</v>
      </c>
      <c r="J242">
        <v>0.16</v>
      </c>
      <c r="K242">
        <v>252</v>
      </c>
      <c r="L242">
        <v>0.1515</v>
      </c>
      <c r="M242">
        <v>0.93</v>
      </c>
      <c r="N242">
        <v>0.19400000000000001</v>
      </c>
      <c r="O242">
        <v>0</v>
      </c>
      <c r="P242">
        <v>32</v>
      </c>
      <c r="Q242">
        <v>32</v>
      </c>
    </row>
    <row r="243" spans="1:17" x14ac:dyDescent="0.3">
      <c r="A243">
        <v>253</v>
      </c>
      <c r="B243" s="4">
        <v>40554</v>
      </c>
      <c r="C243">
        <v>1</v>
      </c>
      <c r="D243">
        <v>0</v>
      </c>
      <c r="E243">
        <v>1</v>
      </c>
      <c r="F243">
        <v>21</v>
      </c>
      <c r="G243" t="b">
        <v>0</v>
      </c>
      <c r="H243">
        <v>2</v>
      </c>
      <c r="I243">
        <v>3</v>
      </c>
      <c r="J243">
        <v>0.16</v>
      </c>
      <c r="K243">
        <v>253</v>
      </c>
      <c r="L243">
        <v>0.19700000000000001</v>
      </c>
      <c r="M243">
        <v>0.86</v>
      </c>
      <c r="N243">
        <v>8.9599999999999999E-2</v>
      </c>
      <c r="O243">
        <v>0</v>
      </c>
      <c r="P243">
        <v>20</v>
      </c>
      <c r="Q243">
        <v>20</v>
      </c>
    </row>
    <row r="244" spans="1:17" x14ac:dyDescent="0.3">
      <c r="A244">
        <v>254</v>
      </c>
      <c r="B244" s="4">
        <v>40554</v>
      </c>
      <c r="C244">
        <v>1</v>
      </c>
      <c r="D244">
        <v>0</v>
      </c>
      <c r="E244">
        <v>1</v>
      </c>
      <c r="F244">
        <v>22</v>
      </c>
      <c r="G244" t="b">
        <v>0</v>
      </c>
      <c r="H244">
        <v>2</v>
      </c>
      <c r="I244">
        <v>3</v>
      </c>
      <c r="J244">
        <v>0.16</v>
      </c>
      <c r="K244">
        <v>254</v>
      </c>
      <c r="L244">
        <v>0.18179999999999999</v>
      </c>
      <c r="M244">
        <v>0.93</v>
      </c>
      <c r="N244">
        <v>0.1045</v>
      </c>
      <c r="O244">
        <v>1</v>
      </c>
      <c r="P244">
        <v>28</v>
      </c>
      <c r="Q244">
        <v>29</v>
      </c>
    </row>
    <row r="245" spans="1:17" x14ac:dyDescent="0.3">
      <c r="A245">
        <v>255</v>
      </c>
      <c r="B245" s="4">
        <v>40554</v>
      </c>
      <c r="C245">
        <v>1</v>
      </c>
      <c r="D245">
        <v>0</v>
      </c>
      <c r="E245">
        <v>1</v>
      </c>
      <c r="F245">
        <v>23</v>
      </c>
      <c r="G245" t="b">
        <v>0</v>
      </c>
      <c r="H245">
        <v>2</v>
      </c>
      <c r="I245">
        <v>3</v>
      </c>
      <c r="J245">
        <v>0.16</v>
      </c>
      <c r="K245">
        <v>255</v>
      </c>
      <c r="L245">
        <v>0.19700000000000001</v>
      </c>
      <c r="M245">
        <v>0.93</v>
      </c>
      <c r="N245">
        <v>8.9599999999999999E-2</v>
      </c>
      <c r="O245">
        <v>1</v>
      </c>
      <c r="P245">
        <v>18</v>
      </c>
      <c r="Q245">
        <v>19</v>
      </c>
    </row>
    <row r="246" spans="1:17" x14ac:dyDescent="0.3">
      <c r="A246">
        <v>256</v>
      </c>
      <c r="B246" s="4">
        <v>40555</v>
      </c>
      <c r="C246">
        <v>1</v>
      </c>
      <c r="D246">
        <v>0</v>
      </c>
      <c r="E246">
        <v>1</v>
      </c>
      <c r="F246">
        <v>0</v>
      </c>
      <c r="G246" t="b">
        <v>0</v>
      </c>
      <c r="H246">
        <v>3</v>
      </c>
      <c r="I246">
        <v>2</v>
      </c>
      <c r="J246">
        <v>0.16</v>
      </c>
      <c r="K246">
        <v>256</v>
      </c>
      <c r="L246">
        <v>0.19700000000000001</v>
      </c>
      <c r="M246">
        <v>0.86</v>
      </c>
      <c r="N246">
        <v>8.9599999999999999E-2</v>
      </c>
      <c r="O246">
        <v>0</v>
      </c>
      <c r="P246">
        <v>7</v>
      </c>
      <c r="Q246">
        <v>7</v>
      </c>
    </row>
    <row r="247" spans="1:17" x14ac:dyDescent="0.3">
      <c r="A247">
        <v>257</v>
      </c>
      <c r="B247" s="4">
        <v>40555</v>
      </c>
      <c r="C247">
        <v>1</v>
      </c>
      <c r="D247">
        <v>0</v>
      </c>
      <c r="E247">
        <v>1</v>
      </c>
      <c r="F247">
        <v>1</v>
      </c>
      <c r="G247" t="b">
        <v>0</v>
      </c>
      <c r="H247">
        <v>3</v>
      </c>
      <c r="I247">
        <v>2</v>
      </c>
      <c r="J247">
        <v>0.16</v>
      </c>
      <c r="K247">
        <v>257</v>
      </c>
      <c r="L247">
        <v>0.18179999999999999</v>
      </c>
      <c r="M247">
        <v>0.86</v>
      </c>
      <c r="N247">
        <v>0.1045</v>
      </c>
      <c r="O247">
        <v>0</v>
      </c>
      <c r="P247">
        <v>6</v>
      </c>
      <c r="Q247">
        <v>6</v>
      </c>
    </row>
    <row r="248" spans="1:17" x14ac:dyDescent="0.3">
      <c r="A248">
        <v>258</v>
      </c>
      <c r="B248" s="4">
        <v>40555</v>
      </c>
      <c r="C248">
        <v>1</v>
      </c>
      <c r="D248">
        <v>0</v>
      </c>
      <c r="E248">
        <v>1</v>
      </c>
      <c r="F248">
        <v>2</v>
      </c>
      <c r="G248" t="b">
        <v>0</v>
      </c>
      <c r="H248">
        <v>3</v>
      </c>
      <c r="I248">
        <v>1</v>
      </c>
      <c r="J248">
        <v>0.14000000000000001</v>
      </c>
      <c r="K248">
        <v>258</v>
      </c>
      <c r="L248">
        <v>0.1515</v>
      </c>
      <c r="M248">
        <v>0.86</v>
      </c>
      <c r="N248">
        <v>0.1343</v>
      </c>
      <c r="O248">
        <v>0</v>
      </c>
      <c r="P248">
        <v>1</v>
      </c>
      <c r="Q248">
        <v>1</v>
      </c>
    </row>
    <row r="249" spans="1:17" x14ac:dyDescent="0.3">
      <c r="A249">
        <v>259</v>
      </c>
      <c r="B249" s="4">
        <v>40555</v>
      </c>
      <c r="C249">
        <v>1</v>
      </c>
      <c r="D249">
        <v>0</v>
      </c>
      <c r="E249">
        <v>1</v>
      </c>
      <c r="F249">
        <v>5</v>
      </c>
      <c r="G249" t="b">
        <v>0</v>
      </c>
      <c r="H249">
        <v>3</v>
      </c>
      <c r="I249">
        <v>1</v>
      </c>
      <c r="J249">
        <v>0.14000000000000001</v>
      </c>
      <c r="K249">
        <v>259</v>
      </c>
      <c r="L249">
        <v>0.1515</v>
      </c>
      <c r="M249">
        <v>0.86</v>
      </c>
      <c r="N249">
        <v>0.16420000000000001</v>
      </c>
      <c r="O249">
        <v>0</v>
      </c>
      <c r="P249">
        <v>5</v>
      </c>
      <c r="Q249">
        <v>5</v>
      </c>
    </row>
    <row r="250" spans="1:17" x14ac:dyDescent="0.3">
      <c r="A250">
        <v>260</v>
      </c>
      <c r="B250" s="4">
        <v>40555</v>
      </c>
      <c r="C250">
        <v>1</v>
      </c>
      <c r="D250">
        <v>0</v>
      </c>
      <c r="E250">
        <v>1</v>
      </c>
      <c r="F250">
        <v>6</v>
      </c>
      <c r="G250" t="b">
        <v>0</v>
      </c>
      <c r="H250">
        <v>3</v>
      </c>
      <c r="I250">
        <v>1</v>
      </c>
      <c r="J250">
        <v>0.12</v>
      </c>
      <c r="K250">
        <v>260</v>
      </c>
      <c r="L250">
        <v>0.1515</v>
      </c>
      <c r="M250">
        <v>0.93</v>
      </c>
      <c r="N250">
        <v>0.1343</v>
      </c>
      <c r="O250">
        <v>0</v>
      </c>
      <c r="P250">
        <v>16</v>
      </c>
      <c r="Q250">
        <v>16</v>
      </c>
    </row>
    <row r="251" spans="1:17" x14ac:dyDescent="0.3">
      <c r="A251">
        <v>261</v>
      </c>
      <c r="B251" s="4">
        <v>40555</v>
      </c>
      <c r="C251">
        <v>1</v>
      </c>
      <c r="D251">
        <v>0</v>
      </c>
      <c r="E251">
        <v>1</v>
      </c>
      <c r="F251">
        <v>7</v>
      </c>
      <c r="G251" t="b">
        <v>0</v>
      </c>
      <c r="H251">
        <v>3</v>
      </c>
      <c r="I251">
        <v>1</v>
      </c>
      <c r="J251">
        <v>0.14000000000000001</v>
      </c>
      <c r="K251">
        <v>261</v>
      </c>
      <c r="L251">
        <v>0.1515</v>
      </c>
      <c r="M251">
        <v>0.69</v>
      </c>
      <c r="N251">
        <v>0.1343</v>
      </c>
      <c r="O251">
        <v>0</v>
      </c>
      <c r="P251">
        <v>54</v>
      </c>
      <c r="Q251">
        <v>54</v>
      </c>
    </row>
    <row r="252" spans="1:17" x14ac:dyDescent="0.3">
      <c r="A252">
        <v>262</v>
      </c>
      <c r="B252" s="4">
        <v>40555</v>
      </c>
      <c r="C252">
        <v>1</v>
      </c>
      <c r="D252">
        <v>0</v>
      </c>
      <c r="E252">
        <v>1</v>
      </c>
      <c r="F252">
        <v>8</v>
      </c>
      <c r="G252" t="b">
        <v>0</v>
      </c>
      <c r="H252">
        <v>3</v>
      </c>
      <c r="I252">
        <v>1</v>
      </c>
      <c r="J252">
        <v>0.16</v>
      </c>
      <c r="K252">
        <v>262</v>
      </c>
      <c r="L252">
        <v>0.16669999999999999</v>
      </c>
      <c r="M252">
        <v>0.59</v>
      </c>
      <c r="N252">
        <v>0.16420000000000001</v>
      </c>
      <c r="O252">
        <v>3</v>
      </c>
      <c r="P252">
        <v>125</v>
      </c>
      <c r="Q252">
        <v>128</v>
      </c>
    </row>
    <row r="253" spans="1:17" x14ac:dyDescent="0.3">
      <c r="A253">
        <v>263</v>
      </c>
      <c r="B253" s="4">
        <v>40555</v>
      </c>
      <c r="C253">
        <v>1</v>
      </c>
      <c r="D253">
        <v>0</v>
      </c>
      <c r="E253">
        <v>1</v>
      </c>
      <c r="F253">
        <v>9</v>
      </c>
      <c r="G253" t="b">
        <v>0</v>
      </c>
      <c r="H253">
        <v>3</v>
      </c>
      <c r="I253">
        <v>1</v>
      </c>
      <c r="J253">
        <v>0.16</v>
      </c>
      <c r="K253">
        <v>263</v>
      </c>
      <c r="L253">
        <v>0.13639999999999999</v>
      </c>
      <c r="M253">
        <v>0.59</v>
      </c>
      <c r="N253">
        <v>0.32840000000000003</v>
      </c>
      <c r="O253">
        <v>3</v>
      </c>
      <c r="P253">
        <v>78</v>
      </c>
      <c r="Q253">
        <v>81</v>
      </c>
    </row>
    <row r="254" spans="1:17" x14ac:dyDescent="0.3">
      <c r="A254">
        <v>264</v>
      </c>
      <c r="B254" s="4">
        <v>40555</v>
      </c>
      <c r="C254">
        <v>1</v>
      </c>
      <c r="D254">
        <v>0</v>
      </c>
      <c r="E254">
        <v>1</v>
      </c>
      <c r="F254">
        <v>10</v>
      </c>
      <c r="G254" t="b">
        <v>0</v>
      </c>
      <c r="H254">
        <v>3</v>
      </c>
      <c r="I254">
        <v>1</v>
      </c>
      <c r="J254">
        <v>0.18</v>
      </c>
      <c r="K254">
        <v>264</v>
      </c>
      <c r="L254">
        <v>0.18179999999999999</v>
      </c>
      <c r="M254">
        <v>0.55000000000000004</v>
      </c>
      <c r="N254">
        <v>0.22389999999999999</v>
      </c>
      <c r="O254">
        <v>0</v>
      </c>
      <c r="P254">
        <v>39</v>
      </c>
      <c r="Q254">
        <v>39</v>
      </c>
    </row>
    <row r="255" spans="1:17" x14ac:dyDescent="0.3">
      <c r="A255">
        <v>265</v>
      </c>
      <c r="B255" s="4">
        <v>40555</v>
      </c>
      <c r="C255">
        <v>1</v>
      </c>
      <c r="D255">
        <v>0</v>
      </c>
      <c r="E255">
        <v>1</v>
      </c>
      <c r="F255">
        <v>11</v>
      </c>
      <c r="G255" t="b">
        <v>0</v>
      </c>
      <c r="H255">
        <v>3</v>
      </c>
      <c r="I255">
        <v>1</v>
      </c>
      <c r="J255">
        <v>0.2</v>
      </c>
      <c r="K255">
        <v>265</v>
      </c>
      <c r="L255">
        <v>0.18179999999999999</v>
      </c>
      <c r="M255">
        <v>0.51</v>
      </c>
      <c r="N255">
        <v>0.3881</v>
      </c>
      <c r="O255">
        <v>3</v>
      </c>
      <c r="P255">
        <v>32</v>
      </c>
      <c r="Q255">
        <v>35</v>
      </c>
    </row>
    <row r="256" spans="1:17" x14ac:dyDescent="0.3">
      <c r="A256">
        <v>266</v>
      </c>
      <c r="B256" s="4">
        <v>40555</v>
      </c>
      <c r="C256">
        <v>1</v>
      </c>
      <c r="D256">
        <v>0</v>
      </c>
      <c r="E256">
        <v>1</v>
      </c>
      <c r="F256">
        <v>12</v>
      </c>
      <c r="G256" t="b">
        <v>0</v>
      </c>
      <c r="H256">
        <v>3</v>
      </c>
      <c r="I256">
        <v>1</v>
      </c>
      <c r="J256">
        <v>0.2</v>
      </c>
      <c r="K256">
        <v>266</v>
      </c>
      <c r="L256">
        <v>0.1515</v>
      </c>
      <c r="M256">
        <v>0.47</v>
      </c>
      <c r="N256">
        <v>0.58209999999999995</v>
      </c>
      <c r="O256">
        <v>3</v>
      </c>
      <c r="P256">
        <v>52</v>
      </c>
      <c r="Q256">
        <v>55</v>
      </c>
    </row>
    <row r="257" spans="1:17" x14ac:dyDescent="0.3">
      <c r="A257">
        <v>267</v>
      </c>
      <c r="B257" s="4">
        <v>40555</v>
      </c>
      <c r="C257">
        <v>1</v>
      </c>
      <c r="D257">
        <v>0</v>
      </c>
      <c r="E257">
        <v>1</v>
      </c>
      <c r="F257">
        <v>13</v>
      </c>
      <c r="G257" t="b">
        <v>0</v>
      </c>
      <c r="H257">
        <v>3</v>
      </c>
      <c r="I257">
        <v>1</v>
      </c>
      <c r="J257">
        <v>0.22</v>
      </c>
      <c r="K257">
        <v>267</v>
      </c>
      <c r="L257">
        <v>0.19700000000000001</v>
      </c>
      <c r="M257">
        <v>0.44</v>
      </c>
      <c r="N257">
        <v>0.35820000000000002</v>
      </c>
      <c r="O257">
        <v>0</v>
      </c>
      <c r="P257">
        <v>49</v>
      </c>
      <c r="Q257">
        <v>49</v>
      </c>
    </row>
    <row r="258" spans="1:17" x14ac:dyDescent="0.3">
      <c r="A258">
        <v>268</v>
      </c>
      <c r="B258" s="4">
        <v>40555</v>
      </c>
      <c r="C258">
        <v>1</v>
      </c>
      <c r="D258">
        <v>0</v>
      </c>
      <c r="E258">
        <v>1</v>
      </c>
      <c r="F258">
        <v>14</v>
      </c>
      <c r="G258" t="b">
        <v>0</v>
      </c>
      <c r="H258">
        <v>3</v>
      </c>
      <c r="I258">
        <v>1</v>
      </c>
      <c r="J258">
        <v>0.2</v>
      </c>
      <c r="K258">
        <v>268</v>
      </c>
      <c r="L258">
        <v>0.18179999999999999</v>
      </c>
      <c r="M258">
        <v>0.47</v>
      </c>
      <c r="N258">
        <v>0.32840000000000003</v>
      </c>
      <c r="O258">
        <v>0</v>
      </c>
      <c r="P258">
        <v>44</v>
      </c>
      <c r="Q258">
        <v>44</v>
      </c>
    </row>
    <row r="259" spans="1:17" x14ac:dyDescent="0.3">
      <c r="A259">
        <v>269</v>
      </c>
      <c r="B259" s="4">
        <v>40555</v>
      </c>
      <c r="C259">
        <v>1</v>
      </c>
      <c r="D259">
        <v>0</v>
      </c>
      <c r="E259">
        <v>1</v>
      </c>
      <c r="F259">
        <v>15</v>
      </c>
      <c r="G259" t="b">
        <v>0</v>
      </c>
      <c r="H259">
        <v>3</v>
      </c>
      <c r="I259">
        <v>1</v>
      </c>
      <c r="J259">
        <v>0.2</v>
      </c>
      <c r="K259">
        <v>269</v>
      </c>
      <c r="L259">
        <v>0.16669999999999999</v>
      </c>
      <c r="M259">
        <v>0.47</v>
      </c>
      <c r="N259">
        <v>0.41789999999999999</v>
      </c>
      <c r="O259">
        <v>1</v>
      </c>
      <c r="P259">
        <v>48</v>
      </c>
      <c r="Q259">
        <v>49</v>
      </c>
    </row>
    <row r="260" spans="1:17" x14ac:dyDescent="0.3">
      <c r="A260">
        <v>270</v>
      </c>
      <c r="B260" s="4">
        <v>40555</v>
      </c>
      <c r="C260">
        <v>1</v>
      </c>
      <c r="D260">
        <v>0</v>
      </c>
      <c r="E260">
        <v>1</v>
      </c>
      <c r="F260">
        <v>16</v>
      </c>
      <c r="G260" t="b">
        <v>0</v>
      </c>
      <c r="H260">
        <v>3</v>
      </c>
      <c r="I260">
        <v>1</v>
      </c>
      <c r="J260">
        <v>0.22</v>
      </c>
      <c r="K260">
        <v>270</v>
      </c>
      <c r="L260">
        <v>0.19700000000000001</v>
      </c>
      <c r="M260">
        <v>0.44</v>
      </c>
      <c r="N260">
        <v>0.32840000000000003</v>
      </c>
      <c r="O260">
        <v>5</v>
      </c>
      <c r="P260">
        <v>63</v>
      </c>
      <c r="Q260">
        <v>68</v>
      </c>
    </row>
    <row r="261" spans="1:17" x14ac:dyDescent="0.3">
      <c r="A261">
        <v>271</v>
      </c>
      <c r="B261" s="4">
        <v>40555</v>
      </c>
      <c r="C261">
        <v>1</v>
      </c>
      <c r="D261">
        <v>0</v>
      </c>
      <c r="E261">
        <v>1</v>
      </c>
      <c r="F261">
        <v>17</v>
      </c>
      <c r="G261" t="b">
        <v>0</v>
      </c>
      <c r="H261">
        <v>3</v>
      </c>
      <c r="I261">
        <v>1</v>
      </c>
      <c r="J261">
        <v>0.2</v>
      </c>
      <c r="K261">
        <v>271</v>
      </c>
      <c r="L261">
        <v>0.18179999999999999</v>
      </c>
      <c r="M261">
        <v>0.47</v>
      </c>
      <c r="N261">
        <v>0.35820000000000002</v>
      </c>
      <c r="O261">
        <v>0</v>
      </c>
      <c r="P261">
        <v>139</v>
      </c>
      <c r="Q261">
        <v>139</v>
      </c>
    </row>
    <row r="262" spans="1:17" x14ac:dyDescent="0.3">
      <c r="A262">
        <v>272</v>
      </c>
      <c r="B262" s="4">
        <v>40555</v>
      </c>
      <c r="C262">
        <v>1</v>
      </c>
      <c r="D262">
        <v>0</v>
      </c>
      <c r="E262">
        <v>1</v>
      </c>
      <c r="F262">
        <v>18</v>
      </c>
      <c r="G262" t="b">
        <v>0</v>
      </c>
      <c r="H262">
        <v>3</v>
      </c>
      <c r="I262">
        <v>1</v>
      </c>
      <c r="J262">
        <v>0.2</v>
      </c>
      <c r="K262">
        <v>272</v>
      </c>
      <c r="L262">
        <v>0.1515</v>
      </c>
      <c r="M262">
        <v>0.47</v>
      </c>
      <c r="N262">
        <v>0.52239999999999998</v>
      </c>
      <c r="O262">
        <v>2</v>
      </c>
      <c r="P262">
        <v>135</v>
      </c>
      <c r="Q262">
        <v>137</v>
      </c>
    </row>
    <row r="263" spans="1:17" x14ac:dyDescent="0.3">
      <c r="A263">
        <v>273</v>
      </c>
      <c r="B263" s="4">
        <v>40555</v>
      </c>
      <c r="C263">
        <v>1</v>
      </c>
      <c r="D263">
        <v>0</v>
      </c>
      <c r="E263">
        <v>1</v>
      </c>
      <c r="F263">
        <v>19</v>
      </c>
      <c r="G263" t="b">
        <v>0</v>
      </c>
      <c r="H263">
        <v>3</v>
      </c>
      <c r="I263">
        <v>1</v>
      </c>
      <c r="J263">
        <v>0.18</v>
      </c>
      <c r="K263">
        <v>273</v>
      </c>
      <c r="L263">
        <v>0.1515</v>
      </c>
      <c r="M263">
        <v>0.47</v>
      </c>
      <c r="N263">
        <v>0.41789999999999999</v>
      </c>
      <c r="O263">
        <v>1</v>
      </c>
      <c r="P263">
        <v>82</v>
      </c>
      <c r="Q263">
        <v>83</v>
      </c>
    </row>
    <row r="264" spans="1:17" x14ac:dyDescent="0.3">
      <c r="A264">
        <v>274</v>
      </c>
      <c r="B264" s="4">
        <v>40555</v>
      </c>
      <c r="C264">
        <v>1</v>
      </c>
      <c r="D264">
        <v>0</v>
      </c>
      <c r="E264">
        <v>1</v>
      </c>
      <c r="F264">
        <v>20</v>
      </c>
      <c r="G264" t="b">
        <v>0</v>
      </c>
      <c r="H264">
        <v>3</v>
      </c>
      <c r="I264">
        <v>1</v>
      </c>
      <c r="J264">
        <v>0.16</v>
      </c>
      <c r="K264">
        <v>274</v>
      </c>
      <c r="L264">
        <v>0.13639999999999999</v>
      </c>
      <c r="M264">
        <v>0.5</v>
      </c>
      <c r="N264">
        <v>0.32840000000000003</v>
      </c>
      <c r="O264">
        <v>2</v>
      </c>
      <c r="P264">
        <v>54</v>
      </c>
      <c r="Q264">
        <v>56</v>
      </c>
    </row>
    <row r="265" spans="1:17" x14ac:dyDescent="0.3">
      <c r="A265">
        <v>275</v>
      </c>
      <c r="B265" s="4">
        <v>40555</v>
      </c>
      <c r="C265">
        <v>1</v>
      </c>
      <c r="D265">
        <v>0</v>
      </c>
      <c r="E265">
        <v>1</v>
      </c>
      <c r="F265">
        <v>21</v>
      </c>
      <c r="G265" t="b">
        <v>0</v>
      </c>
      <c r="H265">
        <v>3</v>
      </c>
      <c r="I265">
        <v>1</v>
      </c>
      <c r="J265">
        <v>0.16</v>
      </c>
      <c r="K265">
        <v>275</v>
      </c>
      <c r="L265">
        <v>0.13639999999999999</v>
      </c>
      <c r="M265">
        <v>0.55000000000000004</v>
      </c>
      <c r="N265">
        <v>0.32840000000000003</v>
      </c>
      <c r="O265">
        <v>0</v>
      </c>
      <c r="P265">
        <v>57</v>
      </c>
      <c r="Q265">
        <v>57</v>
      </c>
    </row>
    <row r="266" spans="1:17" x14ac:dyDescent="0.3">
      <c r="A266">
        <v>276</v>
      </c>
      <c r="B266" s="4">
        <v>40555</v>
      </c>
      <c r="C266">
        <v>1</v>
      </c>
      <c r="D266">
        <v>0</v>
      </c>
      <c r="E266">
        <v>1</v>
      </c>
      <c r="F266">
        <v>22</v>
      </c>
      <c r="G266" t="b">
        <v>0</v>
      </c>
      <c r="H266">
        <v>3</v>
      </c>
      <c r="I266">
        <v>1</v>
      </c>
      <c r="J266">
        <v>0.16</v>
      </c>
      <c r="K266">
        <v>276</v>
      </c>
      <c r="L266">
        <v>0.1212</v>
      </c>
      <c r="M266">
        <v>0.55000000000000004</v>
      </c>
      <c r="N266">
        <v>0.44779999999999998</v>
      </c>
      <c r="O266">
        <v>1</v>
      </c>
      <c r="P266">
        <v>32</v>
      </c>
      <c r="Q266">
        <v>33</v>
      </c>
    </row>
    <row r="267" spans="1:17" x14ac:dyDescent="0.3">
      <c r="A267">
        <v>277</v>
      </c>
      <c r="B267" s="4">
        <v>40555</v>
      </c>
      <c r="C267">
        <v>1</v>
      </c>
      <c r="D267">
        <v>0</v>
      </c>
      <c r="E267">
        <v>1</v>
      </c>
      <c r="F267">
        <v>23</v>
      </c>
      <c r="G267" t="b">
        <v>0</v>
      </c>
      <c r="H267">
        <v>3</v>
      </c>
      <c r="I267">
        <v>1</v>
      </c>
      <c r="J267">
        <v>0.14000000000000001</v>
      </c>
      <c r="K267">
        <v>277</v>
      </c>
      <c r="L267">
        <v>0.1061</v>
      </c>
      <c r="M267">
        <v>0.59</v>
      </c>
      <c r="N267">
        <v>0.41789999999999999</v>
      </c>
      <c r="O267">
        <v>1</v>
      </c>
      <c r="P267">
        <v>19</v>
      </c>
      <c r="Q267">
        <v>20</v>
      </c>
    </row>
    <row r="268" spans="1:17" x14ac:dyDescent="0.3">
      <c r="A268">
        <v>278</v>
      </c>
      <c r="B268" s="4">
        <v>40556</v>
      </c>
      <c r="C268">
        <v>1</v>
      </c>
      <c r="D268">
        <v>0</v>
      </c>
      <c r="E268">
        <v>1</v>
      </c>
      <c r="F268">
        <v>0</v>
      </c>
      <c r="G268" t="b">
        <v>0</v>
      </c>
      <c r="H268">
        <v>4</v>
      </c>
      <c r="I268">
        <v>1</v>
      </c>
      <c r="J268">
        <v>0.14000000000000001</v>
      </c>
      <c r="K268">
        <v>278</v>
      </c>
      <c r="L268">
        <v>0.1212</v>
      </c>
      <c r="M268">
        <v>0.59</v>
      </c>
      <c r="N268">
        <v>0.28360000000000002</v>
      </c>
      <c r="O268">
        <v>1</v>
      </c>
      <c r="P268">
        <v>6</v>
      </c>
      <c r="Q268">
        <v>7</v>
      </c>
    </row>
    <row r="269" spans="1:17" x14ac:dyDescent="0.3">
      <c r="A269">
        <v>279</v>
      </c>
      <c r="B269" s="4">
        <v>40556</v>
      </c>
      <c r="C269">
        <v>1</v>
      </c>
      <c r="D269">
        <v>0</v>
      </c>
      <c r="E269">
        <v>1</v>
      </c>
      <c r="F269">
        <v>1</v>
      </c>
      <c r="G269" t="b">
        <v>0</v>
      </c>
      <c r="H269">
        <v>4</v>
      </c>
      <c r="I269">
        <v>1</v>
      </c>
      <c r="J269">
        <v>0.14000000000000001</v>
      </c>
      <c r="K269">
        <v>279</v>
      </c>
      <c r="L269">
        <v>0.1212</v>
      </c>
      <c r="M269">
        <v>0.5</v>
      </c>
      <c r="N269">
        <v>0.28360000000000002</v>
      </c>
      <c r="O269">
        <v>0</v>
      </c>
      <c r="P269">
        <v>2</v>
      </c>
      <c r="Q269">
        <v>2</v>
      </c>
    </row>
    <row r="270" spans="1:17" x14ac:dyDescent="0.3">
      <c r="A270">
        <v>280</v>
      </c>
      <c r="B270" s="4">
        <v>40556</v>
      </c>
      <c r="C270">
        <v>1</v>
      </c>
      <c r="D270">
        <v>0</v>
      </c>
      <c r="E270">
        <v>1</v>
      </c>
      <c r="F270">
        <v>2</v>
      </c>
      <c r="G270" t="b">
        <v>0</v>
      </c>
      <c r="H270">
        <v>4</v>
      </c>
      <c r="I270">
        <v>1</v>
      </c>
      <c r="J270">
        <v>0.14000000000000001</v>
      </c>
      <c r="K270">
        <v>280</v>
      </c>
      <c r="L270">
        <v>0.1212</v>
      </c>
      <c r="M270">
        <v>0.5</v>
      </c>
      <c r="N270">
        <v>0.35820000000000002</v>
      </c>
      <c r="O270">
        <v>0</v>
      </c>
      <c r="P270">
        <v>2</v>
      </c>
      <c r="Q270">
        <v>2</v>
      </c>
    </row>
    <row r="271" spans="1:17" x14ac:dyDescent="0.3">
      <c r="A271">
        <v>281</v>
      </c>
      <c r="B271" s="4">
        <v>40556</v>
      </c>
      <c r="C271">
        <v>1</v>
      </c>
      <c r="D271">
        <v>0</v>
      </c>
      <c r="E271">
        <v>1</v>
      </c>
      <c r="F271">
        <v>3</v>
      </c>
      <c r="G271" t="b">
        <v>0</v>
      </c>
      <c r="H271">
        <v>4</v>
      </c>
      <c r="I271">
        <v>1</v>
      </c>
      <c r="J271">
        <v>0.14000000000000001</v>
      </c>
      <c r="K271">
        <v>281</v>
      </c>
      <c r="L271">
        <v>0.1212</v>
      </c>
      <c r="M271">
        <v>0.5</v>
      </c>
      <c r="N271">
        <v>0.32840000000000003</v>
      </c>
      <c r="O271">
        <v>0</v>
      </c>
      <c r="P271">
        <v>3</v>
      </c>
      <c r="Q271">
        <v>3</v>
      </c>
    </row>
    <row r="272" spans="1:17" x14ac:dyDescent="0.3">
      <c r="A272">
        <v>282</v>
      </c>
      <c r="B272" s="4">
        <v>40556</v>
      </c>
      <c r="C272">
        <v>1</v>
      </c>
      <c r="D272">
        <v>0</v>
      </c>
      <c r="E272">
        <v>1</v>
      </c>
      <c r="F272">
        <v>4</v>
      </c>
      <c r="G272" t="b">
        <v>0</v>
      </c>
      <c r="H272">
        <v>4</v>
      </c>
      <c r="I272">
        <v>1</v>
      </c>
      <c r="J272">
        <v>0.14000000000000001</v>
      </c>
      <c r="K272">
        <v>282</v>
      </c>
      <c r="L272">
        <v>0.1212</v>
      </c>
      <c r="M272">
        <v>0.5</v>
      </c>
      <c r="N272">
        <v>0.25369999999999998</v>
      </c>
      <c r="O272">
        <v>0</v>
      </c>
      <c r="P272">
        <v>4</v>
      </c>
      <c r="Q272">
        <v>4</v>
      </c>
    </row>
    <row r="273" spans="1:17" x14ac:dyDescent="0.3">
      <c r="A273">
        <v>283</v>
      </c>
      <c r="B273" s="4">
        <v>40556</v>
      </c>
      <c r="C273">
        <v>1</v>
      </c>
      <c r="D273">
        <v>0</v>
      </c>
      <c r="E273">
        <v>1</v>
      </c>
      <c r="F273">
        <v>5</v>
      </c>
      <c r="G273" t="b">
        <v>0</v>
      </c>
      <c r="H273">
        <v>4</v>
      </c>
      <c r="I273">
        <v>1</v>
      </c>
      <c r="J273">
        <v>0.14000000000000001</v>
      </c>
      <c r="K273">
        <v>283</v>
      </c>
      <c r="L273">
        <v>0.1212</v>
      </c>
      <c r="M273">
        <v>0.5</v>
      </c>
      <c r="N273">
        <v>0.29849999999999999</v>
      </c>
      <c r="O273">
        <v>0</v>
      </c>
      <c r="P273">
        <v>3</v>
      </c>
      <c r="Q273">
        <v>3</v>
      </c>
    </row>
    <row r="274" spans="1:17" x14ac:dyDescent="0.3">
      <c r="A274">
        <v>284</v>
      </c>
      <c r="B274" s="4">
        <v>40556</v>
      </c>
      <c r="C274">
        <v>1</v>
      </c>
      <c r="D274">
        <v>0</v>
      </c>
      <c r="E274">
        <v>1</v>
      </c>
      <c r="F274">
        <v>6</v>
      </c>
      <c r="G274" t="b">
        <v>0</v>
      </c>
      <c r="H274">
        <v>4</v>
      </c>
      <c r="I274">
        <v>1</v>
      </c>
      <c r="J274">
        <v>0.12</v>
      </c>
      <c r="K274">
        <v>284</v>
      </c>
      <c r="L274">
        <v>0.1515</v>
      </c>
      <c r="M274">
        <v>0.54</v>
      </c>
      <c r="N274">
        <v>0.1343</v>
      </c>
      <c r="O274">
        <v>0</v>
      </c>
      <c r="P274">
        <v>28</v>
      </c>
      <c r="Q274">
        <v>28</v>
      </c>
    </row>
    <row r="275" spans="1:17" x14ac:dyDescent="0.3">
      <c r="A275">
        <v>285</v>
      </c>
      <c r="B275" s="4">
        <v>40556</v>
      </c>
      <c r="C275">
        <v>1</v>
      </c>
      <c r="D275">
        <v>0</v>
      </c>
      <c r="E275">
        <v>1</v>
      </c>
      <c r="F275">
        <v>7</v>
      </c>
      <c r="G275" t="b">
        <v>0</v>
      </c>
      <c r="H275">
        <v>4</v>
      </c>
      <c r="I275">
        <v>1</v>
      </c>
      <c r="J275">
        <v>0.12</v>
      </c>
      <c r="K275">
        <v>285</v>
      </c>
      <c r="L275">
        <v>0.1515</v>
      </c>
      <c r="M275">
        <v>0.54</v>
      </c>
      <c r="N275">
        <v>0.1343</v>
      </c>
      <c r="O275">
        <v>0</v>
      </c>
      <c r="P275">
        <v>72</v>
      </c>
      <c r="Q275">
        <v>72</v>
      </c>
    </row>
    <row r="276" spans="1:17" x14ac:dyDescent="0.3">
      <c r="A276">
        <v>286</v>
      </c>
      <c r="B276" s="4">
        <v>40556</v>
      </c>
      <c r="C276">
        <v>1</v>
      </c>
      <c r="D276">
        <v>0</v>
      </c>
      <c r="E276">
        <v>1</v>
      </c>
      <c r="F276">
        <v>8</v>
      </c>
      <c r="G276" t="b">
        <v>0</v>
      </c>
      <c r="H276">
        <v>4</v>
      </c>
      <c r="I276">
        <v>1</v>
      </c>
      <c r="J276">
        <v>0.14000000000000001</v>
      </c>
      <c r="K276">
        <v>286</v>
      </c>
      <c r="L276">
        <v>0.13639999999999999</v>
      </c>
      <c r="M276">
        <v>0.5</v>
      </c>
      <c r="N276">
        <v>0.19400000000000001</v>
      </c>
      <c r="O276">
        <v>5</v>
      </c>
      <c r="P276">
        <v>197</v>
      </c>
      <c r="Q276">
        <v>202</v>
      </c>
    </row>
    <row r="277" spans="1:17" x14ac:dyDescent="0.3">
      <c r="A277">
        <v>287</v>
      </c>
      <c r="B277" s="4">
        <v>40556</v>
      </c>
      <c r="C277">
        <v>1</v>
      </c>
      <c r="D277">
        <v>0</v>
      </c>
      <c r="E277">
        <v>1</v>
      </c>
      <c r="F277">
        <v>9</v>
      </c>
      <c r="G277" t="b">
        <v>0</v>
      </c>
      <c r="H277">
        <v>4</v>
      </c>
      <c r="I277">
        <v>1</v>
      </c>
      <c r="J277">
        <v>0.14000000000000001</v>
      </c>
      <c r="K277">
        <v>287</v>
      </c>
      <c r="L277">
        <v>0.1212</v>
      </c>
      <c r="M277">
        <v>0.5</v>
      </c>
      <c r="N277">
        <v>0.32840000000000003</v>
      </c>
      <c r="O277">
        <v>2</v>
      </c>
      <c r="P277">
        <v>137</v>
      </c>
      <c r="Q277">
        <v>139</v>
      </c>
    </row>
    <row r="278" spans="1:17" x14ac:dyDescent="0.3">
      <c r="A278">
        <v>288</v>
      </c>
      <c r="B278" s="4">
        <v>40556</v>
      </c>
      <c r="C278">
        <v>1</v>
      </c>
      <c r="D278">
        <v>0</v>
      </c>
      <c r="E278">
        <v>1</v>
      </c>
      <c r="F278">
        <v>10</v>
      </c>
      <c r="G278" t="b">
        <v>0</v>
      </c>
      <c r="H278">
        <v>4</v>
      </c>
      <c r="I278">
        <v>2</v>
      </c>
      <c r="J278">
        <v>0.16</v>
      </c>
      <c r="K278">
        <v>288</v>
      </c>
      <c r="L278">
        <v>0.13639999999999999</v>
      </c>
      <c r="M278">
        <v>0.5</v>
      </c>
      <c r="N278">
        <v>0.35820000000000002</v>
      </c>
      <c r="O278">
        <v>2</v>
      </c>
      <c r="P278">
        <v>36</v>
      </c>
      <c r="Q278">
        <v>38</v>
      </c>
    </row>
    <row r="279" spans="1:17" x14ac:dyDescent="0.3">
      <c r="A279">
        <v>289</v>
      </c>
      <c r="B279" s="4">
        <v>40556</v>
      </c>
      <c r="C279">
        <v>1</v>
      </c>
      <c r="D279">
        <v>0</v>
      </c>
      <c r="E279">
        <v>1</v>
      </c>
      <c r="F279">
        <v>11</v>
      </c>
      <c r="G279" t="b">
        <v>0</v>
      </c>
      <c r="H279">
        <v>4</v>
      </c>
      <c r="I279">
        <v>2</v>
      </c>
      <c r="J279">
        <v>0.2</v>
      </c>
      <c r="K279">
        <v>289</v>
      </c>
      <c r="L279">
        <v>0.16669999999999999</v>
      </c>
      <c r="M279">
        <v>0.44</v>
      </c>
      <c r="N279">
        <v>0.44779999999999998</v>
      </c>
      <c r="O279">
        <v>4</v>
      </c>
      <c r="P279">
        <v>33</v>
      </c>
      <c r="Q279">
        <v>37</v>
      </c>
    </row>
    <row r="280" spans="1:17" x14ac:dyDescent="0.3">
      <c r="A280">
        <v>290</v>
      </c>
      <c r="B280" s="4">
        <v>40556</v>
      </c>
      <c r="C280">
        <v>1</v>
      </c>
      <c r="D280">
        <v>0</v>
      </c>
      <c r="E280">
        <v>1</v>
      </c>
      <c r="F280">
        <v>12</v>
      </c>
      <c r="G280" t="b">
        <v>0</v>
      </c>
      <c r="H280">
        <v>4</v>
      </c>
      <c r="I280">
        <v>1</v>
      </c>
      <c r="J280">
        <v>0.2</v>
      </c>
      <c r="K280">
        <v>290</v>
      </c>
      <c r="L280">
        <v>0.16669999999999999</v>
      </c>
      <c r="M280">
        <v>0.44</v>
      </c>
      <c r="N280">
        <v>0.41789999999999999</v>
      </c>
      <c r="O280">
        <v>3</v>
      </c>
      <c r="P280">
        <v>49</v>
      </c>
      <c r="Q280">
        <v>52</v>
      </c>
    </row>
    <row r="281" spans="1:17" x14ac:dyDescent="0.3">
      <c r="A281">
        <v>291</v>
      </c>
      <c r="B281" s="4">
        <v>40556</v>
      </c>
      <c r="C281">
        <v>1</v>
      </c>
      <c r="D281">
        <v>0</v>
      </c>
      <c r="E281">
        <v>1</v>
      </c>
      <c r="F281">
        <v>13</v>
      </c>
      <c r="G281" t="b">
        <v>0</v>
      </c>
      <c r="H281">
        <v>4</v>
      </c>
      <c r="I281">
        <v>1</v>
      </c>
      <c r="J281">
        <v>0.22</v>
      </c>
      <c r="K281">
        <v>291</v>
      </c>
      <c r="L281">
        <v>0.19700000000000001</v>
      </c>
      <c r="M281">
        <v>0.41</v>
      </c>
      <c r="N281">
        <v>0.44779999999999998</v>
      </c>
      <c r="O281">
        <v>2</v>
      </c>
      <c r="P281">
        <v>81</v>
      </c>
      <c r="Q281">
        <v>83</v>
      </c>
    </row>
    <row r="282" spans="1:17" x14ac:dyDescent="0.3">
      <c r="A282">
        <v>292</v>
      </c>
      <c r="B282" s="4">
        <v>40556</v>
      </c>
      <c r="C282">
        <v>1</v>
      </c>
      <c r="D282">
        <v>0</v>
      </c>
      <c r="E282">
        <v>1</v>
      </c>
      <c r="F282">
        <v>14</v>
      </c>
      <c r="G282" t="b">
        <v>0</v>
      </c>
      <c r="H282">
        <v>4</v>
      </c>
      <c r="I282">
        <v>1</v>
      </c>
      <c r="J282">
        <v>0.22</v>
      </c>
      <c r="K282">
        <v>292</v>
      </c>
      <c r="L282">
        <v>0.19700000000000001</v>
      </c>
      <c r="M282">
        <v>0.41</v>
      </c>
      <c r="N282">
        <v>0.3881</v>
      </c>
      <c r="O282">
        <v>3</v>
      </c>
      <c r="P282">
        <v>39</v>
      </c>
      <c r="Q282">
        <v>42</v>
      </c>
    </row>
    <row r="283" spans="1:17" x14ac:dyDescent="0.3">
      <c r="A283">
        <v>293</v>
      </c>
      <c r="B283" s="4">
        <v>40556</v>
      </c>
      <c r="C283">
        <v>1</v>
      </c>
      <c r="D283">
        <v>0</v>
      </c>
      <c r="E283">
        <v>1</v>
      </c>
      <c r="F283">
        <v>15</v>
      </c>
      <c r="G283" t="b">
        <v>0</v>
      </c>
      <c r="H283">
        <v>4</v>
      </c>
      <c r="I283">
        <v>1</v>
      </c>
      <c r="J283">
        <v>0.24</v>
      </c>
      <c r="K283">
        <v>293</v>
      </c>
      <c r="L283">
        <v>0.21210000000000001</v>
      </c>
      <c r="M283">
        <v>0.38</v>
      </c>
      <c r="N283">
        <v>0.29849999999999999</v>
      </c>
      <c r="O283">
        <v>5</v>
      </c>
      <c r="P283">
        <v>55</v>
      </c>
      <c r="Q283">
        <v>60</v>
      </c>
    </row>
    <row r="284" spans="1:17" x14ac:dyDescent="0.3">
      <c r="A284">
        <v>294</v>
      </c>
      <c r="B284" s="4">
        <v>40556</v>
      </c>
      <c r="C284">
        <v>1</v>
      </c>
      <c r="D284">
        <v>0</v>
      </c>
      <c r="E284">
        <v>1</v>
      </c>
      <c r="F284">
        <v>16</v>
      </c>
      <c r="G284" t="b">
        <v>0</v>
      </c>
      <c r="H284">
        <v>4</v>
      </c>
      <c r="I284">
        <v>1</v>
      </c>
      <c r="J284">
        <v>0.24</v>
      </c>
      <c r="K284">
        <v>294</v>
      </c>
      <c r="L284">
        <v>0.21210000000000001</v>
      </c>
      <c r="M284">
        <v>0.38</v>
      </c>
      <c r="N284">
        <v>0.35820000000000002</v>
      </c>
      <c r="O284">
        <v>2</v>
      </c>
      <c r="P284">
        <v>76</v>
      </c>
      <c r="Q284">
        <v>78</v>
      </c>
    </row>
    <row r="285" spans="1:17" x14ac:dyDescent="0.3">
      <c r="A285">
        <v>295</v>
      </c>
      <c r="B285" s="4">
        <v>40556</v>
      </c>
      <c r="C285">
        <v>1</v>
      </c>
      <c r="D285">
        <v>0</v>
      </c>
      <c r="E285">
        <v>1</v>
      </c>
      <c r="F285">
        <v>17</v>
      </c>
      <c r="G285" t="b">
        <v>0</v>
      </c>
      <c r="H285">
        <v>4</v>
      </c>
      <c r="I285">
        <v>1</v>
      </c>
      <c r="J285">
        <v>0.2</v>
      </c>
      <c r="K285">
        <v>295</v>
      </c>
      <c r="L285">
        <v>0.18179999999999999</v>
      </c>
      <c r="M285">
        <v>0.4</v>
      </c>
      <c r="N285">
        <v>0.28360000000000002</v>
      </c>
      <c r="O285">
        <v>4</v>
      </c>
      <c r="P285">
        <v>158</v>
      </c>
      <c r="Q285">
        <v>162</v>
      </c>
    </row>
    <row r="286" spans="1:17" x14ac:dyDescent="0.3">
      <c r="A286">
        <v>296</v>
      </c>
      <c r="B286" s="4">
        <v>40556</v>
      </c>
      <c r="C286">
        <v>1</v>
      </c>
      <c r="D286">
        <v>0</v>
      </c>
      <c r="E286">
        <v>1</v>
      </c>
      <c r="F286">
        <v>18</v>
      </c>
      <c r="G286" t="b">
        <v>0</v>
      </c>
      <c r="H286">
        <v>4</v>
      </c>
      <c r="I286">
        <v>1</v>
      </c>
      <c r="J286">
        <v>0.2</v>
      </c>
      <c r="K286">
        <v>296</v>
      </c>
      <c r="L286">
        <v>0.18179999999999999</v>
      </c>
      <c r="M286">
        <v>0.4</v>
      </c>
      <c r="N286">
        <v>0.32840000000000003</v>
      </c>
      <c r="O286">
        <v>3</v>
      </c>
      <c r="P286">
        <v>141</v>
      </c>
      <c r="Q286">
        <v>144</v>
      </c>
    </row>
    <row r="287" spans="1:17" x14ac:dyDescent="0.3">
      <c r="A287">
        <v>297</v>
      </c>
      <c r="B287" s="4">
        <v>40556</v>
      </c>
      <c r="C287">
        <v>1</v>
      </c>
      <c r="D287">
        <v>0</v>
      </c>
      <c r="E287">
        <v>1</v>
      </c>
      <c r="F287">
        <v>19</v>
      </c>
      <c r="G287" t="b">
        <v>0</v>
      </c>
      <c r="H287">
        <v>4</v>
      </c>
      <c r="I287">
        <v>1</v>
      </c>
      <c r="J287">
        <v>0.16</v>
      </c>
      <c r="K287">
        <v>297</v>
      </c>
      <c r="L287">
        <v>0.1515</v>
      </c>
      <c r="M287">
        <v>0.47</v>
      </c>
      <c r="N287">
        <v>0.25369999999999998</v>
      </c>
      <c r="O287">
        <v>1</v>
      </c>
      <c r="P287">
        <v>98</v>
      </c>
      <c r="Q287">
        <v>99</v>
      </c>
    </row>
    <row r="288" spans="1:17" x14ac:dyDescent="0.3">
      <c r="A288">
        <v>298</v>
      </c>
      <c r="B288" s="4">
        <v>40556</v>
      </c>
      <c r="C288">
        <v>1</v>
      </c>
      <c r="D288">
        <v>0</v>
      </c>
      <c r="E288">
        <v>1</v>
      </c>
      <c r="F288">
        <v>20</v>
      </c>
      <c r="G288" t="b">
        <v>0</v>
      </c>
      <c r="H288">
        <v>4</v>
      </c>
      <c r="I288">
        <v>1</v>
      </c>
      <c r="J288">
        <v>0.16</v>
      </c>
      <c r="K288">
        <v>298</v>
      </c>
      <c r="L288">
        <v>0.1515</v>
      </c>
      <c r="M288">
        <v>0.47</v>
      </c>
      <c r="N288">
        <v>0.22389999999999999</v>
      </c>
      <c r="O288">
        <v>0</v>
      </c>
      <c r="P288">
        <v>64</v>
      </c>
      <c r="Q288">
        <v>64</v>
      </c>
    </row>
    <row r="289" spans="1:17" x14ac:dyDescent="0.3">
      <c r="A289">
        <v>299</v>
      </c>
      <c r="B289" s="4">
        <v>40556</v>
      </c>
      <c r="C289">
        <v>1</v>
      </c>
      <c r="D289">
        <v>0</v>
      </c>
      <c r="E289">
        <v>1</v>
      </c>
      <c r="F289">
        <v>21</v>
      </c>
      <c r="G289" t="b">
        <v>0</v>
      </c>
      <c r="H289">
        <v>4</v>
      </c>
      <c r="I289">
        <v>1</v>
      </c>
      <c r="J289">
        <v>0.14000000000000001</v>
      </c>
      <c r="K289">
        <v>299</v>
      </c>
      <c r="L289">
        <v>0.1212</v>
      </c>
      <c r="M289">
        <v>0.46</v>
      </c>
      <c r="N289">
        <v>0.29849999999999999</v>
      </c>
      <c r="O289">
        <v>0</v>
      </c>
      <c r="P289">
        <v>40</v>
      </c>
      <c r="Q289">
        <v>40</v>
      </c>
    </row>
    <row r="290" spans="1:17" x14ac:dyDescent="0.3">
      <c r="A290">
        <v>300</v>
      </c>
      <c r="B290" s="4">
        <v>40556</v>
      </c>
      <c r="C290">
        <v>1</v>
      </c>
      <c r="D290">
        <v>0</v>
      </c>
      <c r="E290">
        <v>1</v>
      </c>
      <c r="F290">
        <v>22</v>
      </c>
      <c r="G290" t="b">
        <v>0</v>
      </c>
      <c r="H290">
        <v>4</v>
      </c>
      <c r="I290">
        <v>1</v>
      </c>
      <c r="J290">
        <v>0.14000000000000001</v>
      </c>
      <c r="K290">
        <v>300</v>
      </c>
      <c r="L290">
        <v>0.1212</v>
      </c>
      <c r="M290">
        <v>0.46</v>
      </c>
      <c r="N290">
        <v>0.32840000000000003</v>
      </c>
      <c r="O290">
        <v>0</v>
      </c>
      <c r="P290">
        <v>30</v>
      </c>
      <c r="Q290">
        <v>30</v>
      </c>
    </row>
    <row r="291" spans="1:17" x14ac:dyDescent="0.3">
      <c r="A291">
        <v>301</v>
      </c>
      <c r="B291" s="4">
        <v>40556</v>
      </c>
      <c r="C291">
        <v>1</v>
      </c>
      <c r="D291">
        <v>0</v>
      </c>
      <c r="E291">
        <v>1</v>
      </c>
      <c r="F291">
        <v>23</v>
      </c>
      <c r="G291" t="b">
        <v>0</v>
      </c>
      <c r="H291">
        <v>4</v>
      </c>
      <c r="I291">
        <v>1</v>
      </c>
      <c r="J291">
        <v>0.12</v>
      </c>
      <c r="K291">
        <v>301</v>
      </c>
      <c r="L291">
        <v>0.13639999999999999</v>
      </c>
      <c r="M291">
        <v>0.5</v>
      </c>
      <c r="N291">
        <v>0.19400000000000001</v>
      </c>
      <c r="O291">
        <v>1</v>
      </c>
      <c r="P291">
        <v>14</v>
      </c>
      <c r="Q291">
        <v>15</v>
      </c>
    </row>
    <row r="292" spans="1:17" x14ac:dyDescent="0.3">
      <c r="A292">
        <v>302</v>
      </c>
      <c r="B292" s="4">
        <v>40557</v>
      </c>
      <c r="C292">
        <v>1</v>
      </c>
      <c r="D292">
        <v>0</v>
      </c>
      <c r="E292">
        <v>1</v>
      </c>
      <c r="F292">
        <v>0</v>
      </c>
      <c r="G292" t="b">
        <v>0</v>
      </c>
      <c r="H292">
        <v>5</v>
      </c>
      <c r="I292">
        <v>1</v>
      </c>
      <c r="J292">
        <v>0.12</v>
      </c>
      <c r="K292">
        <v>302</v>
      </c>
      <c r="L292">
        <v>0.13639999999999999</v>
      </c>
      <c r="M292">
        <v>0.5</v>
      </c>
      <c r="N292">
        <v>0.19400000000000001</v>
      </c>
      <c r="O292">
        <v>0</v>
      </c>
      <c r="P292">
        <v>14</v>
      </c>
      <c r="Q292">
        <v>14</v>
      </c>
    </row>
    <row r="293" spans="1:17" x14ac:dyDescent="0.3">
      <c r="A293">
        <v>303</v>
      </c>
      <c r="B293" s="4">
        <v>40557</v>
      </c>
      <c r="C293">
        <v>1</v>
      </c>
      <c r="D293">
        <v>0</v>
      </c>
      <c r="E293">
        <v>1</v>
      </c>
      <c r="F293">
        <v>1</v>
      </c>
      <c r="G293" t="b">
        <v>0</v>
      </c>
      <c r="H293">
        <v>5</v>
      </c>
      <c r="I293">
        <v>1</v>
      </c>
      <c r="J293">
        <v>0.1</v>
      </c>
      <c r="K293">
        <v>303</v>
      </c>
      <c r="L293">
        <v>0.1212</v>
      </c>
      <c r="M293">
        <v>0.54</v>
      </c>
      <c r="N293">
        <v>0.16420000000000001</v>
      </c>
      <c r="O293">
        <v>0</v>
      </c>
      <c r="P293">
        <v>5</v>
      </c>
      <c r="Q293">
        <v>5</v>
      </c>
    </row>
    <row r="294" spans="1:17" x14ac:dyDescent="0.3">
      <c r="A294">
        <v>304</v>
      </c>
      <c r="B294" s="4">
        <v>40557</v>
      </c>
      <c r="C294">
        <v>1</v>
      </c>
      <c r="D294">
        <v>0</v>
      </c>
      <c r="E294">
        <v>1</v>
      </c>
      <c r="F294">
        <v>2</v>
      </c>
      <c r="G294" t="b">
        <v>0</v>
      </c>
      <c r="H294">
        <v>5</v>
      </c>
      <c r="I294">
        <v>1</v>
      </c>
      <c r="J294">
        <v>0.1</v>
      </c>
      <c r="K294">
        <v>304</v>
      </c>
      <c r="L294">
        <v>0.1212</v>
      </c>
      <c r="M294">
        <v>0.54</v>
      </c>
      <c r="N294">
        <v>0.1343</v>
      </c>
      <c r="O294">
        <v>0</v>
      </c>
      <c r="P294">
        <v>1</v>
      </c>
      <c r="Q294">
        <v>1</v>
      </c>
    </row>
    <row r="295" spans="1:17" x14ac:dyDescent="0.3">
      <c r="A295">
        <v>305</v>
      </c>
      <c r="B295" s="4">
        <v>40557</v>
      </c>
      <c r="C295">
        <v>1</v>
      </c>
      <c r="D295">
        <v>0</v>
      </c>
      <c r="E295">
        <v>1</v>
      </c>
      <c r="F295">
        <v>3</v>
      </c>
      <c r="G295" t="b">
        <v>0</v>
      </c>
      <c r="H295">
        <v>5</v>
      </c>
      <c r="I295">
        <v>1</v>
      </c>
      <c r="J295">
        <v>0.1</v>
      </c>
      <c r="K295">
        <v>305</v>
      </c>
      <c r="L295">
        <v>0.13639999999999999</v>
      </c>
      <c r="M295">
        <v>0.54</v>
      </c>
      <c r="N295">
        <v>0.1045</v>
      </c>
      <c r="O295">
        <v>0</v>
      </c>
      <c r="P295">
        <v>1</v>
      </c>
      <c r="Q295">
        <v>1</v>
      </c>
    </row>
    <row r="296" spans="1:17" x14ac:dyDescent="0.3">
      <c r="A296">
        <v>306</v>
      </c>
      <c r="B296" s="4">
        <v>40557</v>
      </c>
      <c r="C296">
        <v>1</v>
      </c>
      <c r="D296">
        <v>0</v>
      </c>
      <c r="E296">
        <v>1</v>
      </c>
      <c r="F296">
        <v>5</v>
      </c>
      <c r="G296" t="b">
        <v>0</v>
      </c>
      <c r="H296">
        <v>5</v>
      </c>
      <c r="I296">
        <v>1</v>
      </c>
      <c r="J296">
        <v>0.1</v>
      </c>
      <c r="K296">
        <v>306</v>
      </c>
      <c r="L296">
        <v>0.13639999999999999</v>
      </c>
      <c r="M296">
        <v>0.54</v>
      </c>
      <c r="N296">
        <v>8.9599999999999999E-2</v>
      </c>
      <c r="O296">
        <v>0</v>
      </c>
      <c r="P296">
        <v>8</v>
      </c>
      <c r="Q296">
        <v>8</v>
      </c>
    </row>
    <row r="297" spans="1:17" x14ac:dyDescent="0.3">
      <c r="A297">
        <v>307</v>
      </c>
      <c r="B297" s="4">
        <v>40557</v>
      </c>
      <c r="C297">
        <v>1</v>
      </c>
      <c r="D297">
        <v>0</v>
      </c>
      <c r="E297">
        <v>1</v>
      </c>
      <c r="F297">
        <v>6</v>
      </c>
      <c r="G297" t="b">
        <v>0</v>
      </c>
      <c r="H297">
        <v>5</v>
      </c>
      <c r="I297">
        <v>1</v>
      </c>
      <c r="J297">
        <v>0.1</v>
      </c>
      <c r="K297">
        <v>307</v>
      </c>
      <c r="L297">
        <v>0.18179999999999999</v>
      </c>
      <c r="M297">
        <v>0.54</v>
      </c>
      <c r="N297">
        <v>0</v>
      </c>
      <c r="O297">
        <v>0</v>
      </c>
      <c r="P297">
        <v>17</v>
      </c>
      <c r="Q297">
        <v>17</v>
      </c>
    </row>
    <row r="298" spans="1:17" x14ac:dyDescent="0.3">
      <c r="A298">
        <v>308</v>
      </c>
      <c r="B298" s="4">
        <v>40557</v>
      </c>
      <c r="C298">
        <v>1</v>
      </c>
      <c r="D298">
        <v>0</v>
      </c>
      <c r="E298">
        <v>1</v>
      </c>
      <c r="F298">
        <v>7</v>
      </c>
      <c r="G298" t="b">
        <v>0</v>
      </c>
      <c r="H298">
        <v>5</v>
      </c>
      <c r="I298">
        <v>1</v>
      </c>
      <c r="J298">
        <v>0.1</v>
      </c>
      <c r="K298">
        <v>308</v>
      </c>
      <c r="L298">
        <v>0.1212</v>
      </c>
      <c r="M298">
        <v>0.74</v>
      </c>
      <c r="N298">
        <v>0.16420000000000001</v>
      </c>
      <c r="O298">
        <v>0</v>
      </c>
      <c r="P298">
        <v>70</v>
      </c>
      <c r="Q298">
        <v>70</v>
      </c>
    </row>
    <row r="299" spans="1:17" x14ac:dyDescent="0.3">
      <c r="A299">
        <v>309</v>
      </c>
      <c r="B299" s="4">
        <v>40557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5</v>
      </c>
      <c r="I299">
        <v>1</v>
      </c>
      <c r="J299">
        <v>0.12</v>
      </c>
      <c r="K299">
        <v>309</v>
      </c>
      <c r="L299">
        <v>0.16669999999999999</v>
      </c>
      <c r="M299">
        <v>0.68</v>
      </c>
      <c r="N299">
        <v>0</v>
      </c>
      <c r="O299">
        <v>2</v>
      </c>
      <c r="P299">
        <v>156</v>
      </c>
      <c r="Q299">
        <v>158</v>
      </c>
    </row>
    <row r="300" spans="1:17" x14ac:dyDescent="0.3">
      <c r="A300">
        <v>310</v>
      </c>
      <c r="B300" s="4">
        <v>40557</v>
      </c>
      <c r="C300">
        <v>1</v>
      </c>
      <c r="D300">
        <v>0</v>
      </c>
      <c r="E300">
        <v>1</v>
      </c>
      <c r="F300">
        <v>9</v>
      </c>
      <c r="G300" t="b">
        <v>0</v>
      </c>
      <c r="H300">
        <v>5</v>
      </c>
      <c r="I300">
        <v>1</v>
      </c>
      <c r="J300">
        <v>0.14000000000000001</v>
      </c>
      <c r="K300">
        <v>310</v>
      </c>
      <c r="L300">
        <v>0.1515</v>
      </c>
      <c r="M300">
        <v>0.69</v>
      </c>
      <c r="N300">
        <v>0.1343</v>
      </c>
      <c r="O300">
        <v>0</v>
      </c>
      <c r="P300">
        <v>117</v>
      </c>
      <c r="Q300">
        <v>117</v>
      </c>
    </row>
    <row r="301" spans="1:17" x14ac:dyDescent="0.3">
      <c r="A301">
        <v>311</v>
      </c>
      <c r="B301" s="4">
        <v>40557</v>
      </c>
      <c r="C301">
        <v>1</v>
      </c>
      <c r="D301">
        <v>0</v>
      </c>
      <c r="E301">
        <v>1</v>
      </c>
      <c r="F301">
        <v>10</v>
      </c>
      <c r="G301" t="b">
        <v>0</v>
      </c>
      <c r="H301">
        <v>5</v>
      </c>
      <c r="I301">
        <v>1</v>
      </c>
      <c r="J301">
        <v>0.18</v>
      </c>
      <c r="K301">
        <v>311</v>
      </c>
      <c r="L301">
        <v>0.18179999999999999</v>
      </c>
      <c r="M301">
        <v>0.55000000000000004</v>
      </c>
      <c r="N301">
        <v>0.19400000000000001</v>
      </c>
      <c r="O301">
        <v>4</v>
      </c>
      <c r="P301">
        <v>40</v>
      </c>
      <c r="Q301">
        <v>44</v>
      </c>
    </row>
    <row r="302" spans="1:17" x14ac:dyDescent="0.3">
      <c r="A302">
        <v>312</v>
      </c>
      <c r="B302" s="4">
        <v>40557</v>
      </c>
      <c r="C302">
        <v>1</v>
      </c>
      <c r="D302">
        <v>0</v>
      </c>
      <c r="E302">
        <v>1</v>
      </c>
      <c r="F302">
        <v>11</v>
      </c>
      <c r="G302" t="b">
        <v>0</v>
      </c>
      <c r="H302">
        <v>5</v>
      </c>
      <c r="I302">
        <v>1</v>
      </c>
      <c r="J302">
        <v>0.18</v>
      </c>
      <c r="K302">
        <v>312</v>
      </c>
      <c r="L302">
        <v>0.16669999999999999</v>
      </c>
      <c r="M302">
        <v>0.51</v>
      </c>
      <c r="N302">
        <v>0.28360000000000002</v>
      </c>
      <c r="O302">
        <v>6</v>
      </c>
      <c r="P302">
        <v>47</v>
      </c>
      <c r="Q302">
        <v>53</v>
      </c>
    </row>
    <row r="303" spans="1:17" x14ac:dyDescent="0.3">
      <c r="A303">
        <v>313</v>
      </c>
      <c r="B303" s="4">
        <v>40557</v>
      </c>
      <c r="C303">
        <v>1</v>
      </c>
      <c r="D303">
        <v>0</v>
      </c>
      <c r="E303">
        <v>1</v>
      </c>
      <c r="F303">
        <v>12</v>
      </c>
      <c r="G303" t="b">
        <v>0</v>
      </c>
      <c r="H303">
        <v>5</v>
      </c>
      <c r="I303">
        <v>1</v>
      </c>
      <c r="J303">
        <v>0.2</v>
      </c>
      <c r="K303">
        <v>313</v>
      </c>
      <c r="L303">
        <v>0.19700000000000001</v>
      </c>
      <c r="M303">
        <v>0.44</v>
      </c>
      <c r="N303">
        <v>0.25369999999999998</v>
      </c>
      <c r="O303">
        <v>2</v>
      </c>
      <c r="P303">
        <v>59</v>
      </c>
      <c r="Q303">
        <v>61</v>
      </c>
    </row>
    <row r="304" spans="1:17" x14ac:dyDescent="0.3">
      <c r="A304">
        <v>314</v>
      </c>
      <c r="B304" s="4">
        <v>40557</v>
      </c>
      <c r="C304">
        <v>1</v>
      </c>
      <c r="D304">
        <v>0</v>
      </c>
      <c r="E304">
        <v>1</v>
      </c>
      <c r="F304">
        <v>13</v>
      </c>
      <c r="G304" t="b">
        <v>0</v>
      </c>
      <c r="H304">
        <v>5</v>
      </c>
      <c r="I304">
        <v>1</v>
      </c>
      <c r="J304">
        <v>0.22</v>
      </c>
      <c r="K304">
        <v>314</v>
      </c>
      <c r="L304">
        <v>0.19700000000000001</v>
      </c>
      <c r="M304">
        <v>0.37</v>
      </c>
      <c r="N304">
        <v>0.3881</v>
      </c>
      <c r="O304">
        <v>4</v>
      </c>
      <c r="P304">
        <v>73</v>
      </c>
      <c r="Q304">
        <v>77</v>
      </c>
    </row>
    <row r="305" spans="1:17" x14ac:dyDescent="0.3">
      <c r="A305">
        <v>315</v>
      </c>
      <c r="B305" s="4">
        <v>40557</v>
      </c>
      <c r="C305">
        <v>1</v>
      </c>
      <c r="D305">
        <v>0</v>
      </c>
      <c r="E305">
        <v>1</v>
      </c>
      <c r="F305">
        <v>14</v>
      </c>
      <c r="G305" t="b">
        <v>0</v>
      </c>
      <c r="H305">
        <v>5</v>
      </c>
      <c r="I305">
        <v>1</v>
      </c>
      <c r="J305">
        <v>0.22</v>
      </c>
      <c r="K305">
        <v>315</v>
      </c>
      <c r="L305">
        <v>0.21210000000000001</v>
      </c>
      <c r="M305">
        <v>0.41</v>
      </c>
      <c r="N305">
        <v>0.28360000000000002</v>
      </c>
      <c r="O305">
        <v>5</v>
      </c>
      <c r="P305">
        <v>59</v>
      </c>
      <c r="Q305">
        <v>64</v>
      </c>
    </row>
    <row r="306" spans="1:17" x14ac:dyDescent="0.3">
      <c r="A306">
        <v>316</v>
      </c>
      <c r="B306" s="4">
        <v>40557</v>
      </c>
      <c r="C306">
        <v>1</v>
      </c>
      <c r="D306">
        <v>0</v>
      </c>
      <c r="E306">
        <v>1</v>
      </c>
      <c r="F306">
        <v>15</v>
      </c>
      <c r="G306" t="b">
        <v>0</v>
      </c>
      <c r="H306">
        <v>5</v>
      </c>
      <c r="I306">
        <v>1</v>
      </c>
      <c r="J306">
        <v>0.24</v>
      </c>
      <c r="K306">
        <v>316</v>
      </c>
      <c r="L306">
        <v>0.2424</v>
      </c>
      <c r="M306">
        <v>0.38</v>
      </c>
      <c r="N306">
        <v>0.16420000000000001</v>
      </c>
      <c r="O306">
        <v>9</v>
      </c>
      <c r="P306">
        <v>59</v>
      </c>
      <c r="Q306">
        <v>68</v>
      </c>
    </row>
    <row r="307" spans="1:17" x14ac:dyDescent="0.3">
      <c r="A307">
        <v>317</v>
      </c>
      <c r="B307" s="4">
        <v>40557</v>
      </c>
      <c r="C307">
        <v>1</v>
      </c>
      <c r="D307">
        <v>0</v>
      </c>
      <c r="E307">
        <v>1</v>
      </c>
      <c r="F307">
        <v>16</v>
      </c>
      <c r="G307" t="b">
        <v>0</v>
      </c>
      <c r="H307">
        <v>5</v>
      </c>
      <c r="I307">
        <v>1</v>
      </c>
      <c r="J307">
        <v>0.22</v>
      </c>
      <c r="K307">
        <v>317</v>
      </c>
      <c r="L307">
        <v>0.2424</v>
      </c>
      <c r="M307">
        <v>0.41</v>
      </c>
      <c r="N307">
        <v>0.1045</v>
      </c>
      <c r="O307">
        <v>3</v>
      </c>
      <c r="P307">
        <v>87</v>
      </c>
      <c r="Q307">
        <v>90</v>
      </c>
    </row>
    <row r="308" spans="1:17" x14ac:dyDescent="0.3">
      <c r="A308">
        <v>318</v>
      </c>
      <c r="B308" s="4">
        <v>40557</v>
      </c>
      <c r="C308">
        <v>1</v>
      </c>
      <c r="D308">
        <v>0</v>
      </c>
      <c r="E308">
        <v>1</v>
      </c>
      <c r="F308">
        <v>17</v>
      </c>
      <c r="G308" t="b">
        <v>0</v>
      </c>
      <c r="H308">
        <v>5</v>
      </c>
      <c r="I308">
        <v>1</v>
      </c>
      <c r="J308">
        <v>0.22</v>
      </c>
      <c r="K308">
        <v>318</v>
      </c>
      <c r="L308">
        <v>0.2273</v>
      </c>
      <c r="M308">
        <v>0.41</v>
      </c>
      <c r="N308">
        <v>0.16420000000000001</v>
      </c>
      <c r="O308">
        <v>4</v>
      </c>
      <c r="P308">
        <v>155</v>
      </c>
      <c r="Q308">
        <v>159</v>
      </c>
    </row>
    <row r="309" spans="1:17" x14ac:dyDescent="0.3">
      <c r="A309">
        <v>319</v>
      </c>
      <c r="B309" s="4">
        <v>40557</v>
      </c>
      <c r="C309">
        <v>1</v>
      </c>
      <c r="D309">
        <v>0</v>
      </c>
      <c r="E309">
        <v>1</v>
      </c>
      <c r="F309">
        <v>18</v>
      </c>
      <c r="G309" t="b">
        <v>0</v>
      </c>
      <c r="H309">
        <v>5</v>
      </c>
      <c r="I309">
        <v>1</v>
      </c>
      <c r="J309">
        <v>0.2</v>
      </c>
      <c r="K309">
        <v>319</v>
      </c>
      <c r="L309">
        <v>0.2576</v>
      </c>
      <c r="M309">
        <v>0.47</v>
      </c>
      <c r="N309">
        <v>0</v>
      </c>
      <c r="O309">
        <v>5</v>
      </c>
      <c r="P309">
        <v>134</v>
      </c>
      <c r="Q309">
        <v>139</v>
      </c>
    </row>
    <row r="310" spans="1:17" x14ac:dyDescent="0.3">
      <c r="A310">
        <v>320</v>
      </c>
      <c r="B310" s="4">
        <v>40557</v>
      </c>
      <c r="C310">
        <v>1</v>
      </c>
      <c r="D310">
        <v>0</v>
      </c>
      <c r="E310">
        <v>1</v>
      </c>
      <c r="F310">
        <v>19</v>
      </c>
      <c r="G310" t="b">
        <v>0</v>
      </c>
      <c r="H310">
        <v>5</v>
      </c>
      <c r="I310">
        <v>1</v>
      </c>
      <c r="J310">
        <v>0.16</v>
      </c>
      <c r="K310">
        <v>320</v>
      </c>
      <c r="L310">
        <v>0.19700000000000001</v>
      </c>
      <c r="M310">
        <v>0.59</v>
      </c>
      <c r="N310">
        <v>8.9599999999999999E-2</v>
      </c>
      <c r="O310">
        <v>3</v>
      </c>
      <c r="P310">
        <v>89</v>
      </c>
      <c r="Q310">
        <v>92</v>
      </c>
    </row>
    <row r="311" spans="1:17" x14ac:dyDescent="0.3">
      <c r="A311">
        <v>321</v>
      </c>
      <c r="B311" s="4">
        <v>40557</v>
      </c>
      <c r="C311">
        <v>1</v>
      </c>
      <c r="D311">
        <v>0</v>
      </c>
      <c r="E311">
        <v>1</v>
      </c>
      <c r="F311">
        <v>20</v>
      </c>
      <c r="G311" t="b">
        <v>0</v>
      </c>
      <c r="H311">
        <v>5</v>
      </c>
      <c r="I311">
        <v>1</v>
      </c>
      <c r="J311">
        <v>0.18</v>
      </c>
      <c r="K311">
        <v>321</v>
      </c>
      <c r="L311">
        <v>0.2424</v>
      </c>
      <c r="M311">
        <v>0.59</v>
      </c>
      <c r="N311">
        <v>0</v>
      </c>
      <c r="O311">
        <v>0</v>
      </c>
      <c r="P311">
        <v>68</v>
      </c>
      <c r="Q311">
        <v>68</v>
      </c>
    </row>
    <row r="312" spans="1:17" x14ac:dyDescent="0.3">
      <c r="A312">
        <v>322</v>
      </c>
      <c r="B312" s="4">
        <v>40557</v>
      </c>
      <c r="C312">
        <v>1</v>
      </c>
      <c r="D312">
        <v>0</v>
      </c>
      <c r="E312">
        <v>1</v>
      </c>
      <c r="F312">
        <v>21</v>
      </c>
      <c r="G312" t="b">
        <v>0</v>
      </c>
      <c r="H312">
        <v>5</v>
      </c>
      <c r="I312">
        <v>1</v>
      </c>
      <c r="J312">
        <v>0.16</v>
      </c>
      <c r="K312">
        <v>322</v>
      </c>
      <c r="L312">
        <v>0.2273</v>
      </c>
      <c r="M312">
        <v>0.69</v>
      </c>
      <c r="N312">
        <v>0</v>
      </c>
      <c r="O312">
        <v>4</v>
      </c>
      <c r="P312">
        <v>48</v>
      </c>
      <c r="Q312">
        <v>52</v>
      </c>
    </row>
    <row r="313" spans="1:17" x14ac:dyDescent="0.3">
      <c r="A313">
        <v>323</v>
      </c>
      <c r="B313" s="4">
        <v>40557</v>
      </c>
      <c r="C313">
        <v>1</v>
      </c>
      <c r="D313">
        <v>0</v>
      </c>
      <c r="E313">
        <v>1</v>
      </c>
      <c r="F313">
        <v>22</v>
      </c>
      <c r="G313" t="b">
        <v>0</v>
      </c>
      <c r="H313">
        <v>5</v>
      </c>
      <c r="I313">
        <v>2</v>
      </c>
      <c r="J313">
        <v>0.16</v>
      </c>
      <c r="K313">
        <v>323</v>
      </c>
      <c r="L313">
        <v>0.2273</v>
      </c>
      <c r="M313">
        <v>0.69</v>
      </c>
      <c r="N313">
        <v>0</v>
      </c>
      <c r="O313">
        <v>2</v>
      </c>
      <c r="P313">
        <v>34</v>
      </c>
      <c r="Q313">
        <v>36</v>
      </c>
    </row>
    <row r="314" spans="1:17" x14ac:dyDescent="0.3">
      <c r="A314">
        <v>324</v>
      </c>
      <c r="B314" s="4">
        <v>40557</v>
      </c>
      <c r="C314">
        <v>1</v>
      </c>
      <c r="D314">
        <v>0</v>
      </c>
      <c r="E314">
        <v>1</v>
      </c>
      <c r="F314">
        <v>23</v>
      </c>
      <c r="G314" t="b">
        <v>0</v>
      </c>
      <c r="H314">
        <v>5</v>
      </c>
      <c r="I314">
        <v>2</v>
      </c>
      <c r="J314">
        <v>0.18</v>
      </c>
      <c r="K314">
        <v>324</v>
      </c>
      <c r="L314">
        <v>0.2424</v>
      </c>
      <c r="M314">
        <v>0.55000000000000004</v>
      </c>
      <c r="N314">
        <v>0</v>
      </c>
      <c r="O314">
        <v>1</v>
      </c>
      <c r="P314">
        <v>26</v>
      </c>
      <c r="Q314">
        <v>27</v>
      </c>
    </row>
    <row r="315" spans="1:17" x14ac:dyDescent="0.3">
      <c r="A315">
        <v>325</v>
      </c>
      <c r="B315" s="4">
        <v>40558</v>
      </c>
      <c r="C315">
        <v>1</v>
      </c>
      <c r="D315">
        <v>0</v>
      </c>
      <c r="E315">
        <v>1</v>
      </c>
      <c r="F315">
        <v>0</v>
      </c>
      <c r="G315" t="b">
        <v>0</v>
      </c>
      <c r="H315">
        <v>6</v>
      </c>
      <c r="I315">
        <v>1</v>
      </c>
      <c r="J315">
        <v>0.18</v>
      </c>
      <c r="K315">
        <v>325</v>
      </c>
      <c r="L315">
        <v>0.2424</v>
      </c>
      <c r="M315">
        <v>0.55000000000000004</v>
      </c>
      <c r="N315">
        <v>0</v>
      </c>
      <c r="O315">
        <v>3</v>
      </c>
      <c r="P315">
        <v>25</v>
      </c>
      <c r="Q315">
        <v>28</v>
      </c>
    </row>
    <row r="316" spans="1:17" x14ac:dyDescent="0.3">
      <c r="A316">
        <v>326</v>
      </c>
      <c r="B316" s="4">
        <v>40558</v>
      </c>
      <c r="C316">
        <v>1</v>
      </c>
      <c r="D316">
        <v>0</v>
      </c>
      <c r="E316">
        <v>1</v>
      </c>
      <c r="F316">
        <v>1</v>
      </c>
      <c r="G316" t="b">
        <v>0</v>
      </c>
      <c r="H316">
        <v>6</v>
      </c>
      <c r="I316">
        <v>2</v>
      </c>
      <c r="J316">
        <v>0.16</v>
      </c>
      <c r="K316">
        <v>326</v>
      </c>
      <c r="L316">
        <v>0.19700000000000001</v>
      </c>
      <c r="M316">
        <v>0.59</v>
      </c>
      <c r="N316">
        <v>8.9599999999999999E-2</v>
      </c>
      <c r="O316">
        <v>2</v>
      </c>
      <c r="P316">
        <v>18</v>
      </c>
      <c r="Q316">
        <v>20</v>
      </c>
    </row>
    <row r="317" spans="1:17" x14ac:dyDescent="0.3">
      <c r="A317">
        <v>327</v>
      </c>
      <c r="B317" s="4">
        <v>40558</v>
      </c>
      <c r="C317">
        <v>1</v>
      </c>
      <c r="D317">
        <v>0</v>
      </c>
      <c r="E317">
        <v>1</v>
      </c>
      <c r="F317">
        <v>2</v>
      </c>
      <c r="G317" t="b">
        <v>0</v>
      </c>
      <c r="H317">
        <v>6</v>
      </c>
      <c r="I317">
        <v>2</v>
      </c>
      <c r="J317">
        <v>0.16</v>
      </c>
      <c r="K317">
        <v>327</v>
      </c>
      <c r="L317">
        <v>0.19700000000000001</v>
      </c>
      <c r="M317">
        <v>0.59</v>
      </c>
      <c r="N317">
        <v>8.9599999999999999E-2</v>
      </c>
      <c r="O317">
        <v>0</v>
      </c>
      <c r="P317">
        <v>12</v>
      </c>
      <c r="Q317">
        <v>12</v>
      </c>
    </row>
    <row r="318" spans="1:17" x14ac:dyDescent="0.3">
      <c r="A318">
        <v>328</v>
      </c>
      <c r="B318" s="4">
        <v>40558</v>
      </c>
      <c r="C318">
        <v>1</v>
      </c>
      <c r="D318">
        <v>0</v>
      </c>
      <c r="E318">
        <v>1</v>
      </c>
      <c r="F318">
        <v>3</v>
      </c>
      <c r="G318" t="b">
        <v>0</v>
      </c>
      <c r="H318">
        <v>6</v>
      </c>
      <c r="I318">
        <v>2</v>
      </c>
      <c r="J318">
        <v>0.16</v>
      </c>
      <c r="K318">
        <v>328</v>
      </c>
      <c r="L318">
        <v>0.2273</v>
      </c>
      <c r="M318">
        <v>0.59</v>
      </c>
      <c r="N318">
        <v>0</v>
      </c>
      <c r="O318">
        <v>1</v>
      </c>
      <c r="P318">
        <v>7</v>
      </c>
      <c r="Q318">
        <v>8</v>
      </c>
    </row>
    <row r="319" spans="1:17" x14ac:dyDescent="0.3">
      <c r="A319">
        <v>329</v>
      </c>
      <c r="B319" s="4">
        <v>40558</v>
      </c>
      <c r="C319">
        <v>1</v>
      </c>
      <c r="D319">
        <v>0</v>
      </c>
      <c r="E319">
        <v>1</v>
      </c>
      <c r="F319">
        <v>4</v>
      </c>
      <c r="G319" t="b">
        <v>0</v>
      </c>
      <c r="H319">
        <v>6</v>
      </c>
      <c r="I319">
        <v>2</v>
      </c>
      <c r="J319">
        <v>0.16</v>
      </c>
      <c r="K319">
        <v>329</v>
      </c>
      <c r="L319">
        <v>0.2273</v>
      </c>
      <c r="M319">
        <v>0.59</v>
      </c>
      <c r="N319">
        <v>0</v>
      </c>
      <c r="O319">
        <v>0</v>
      </c>
      <c r="P319">
        <v>5</v>
      </c>
      <c r="Q319">
        <v>5</v>
      </c>
    </row>
    <row r="320" spans="1:17" x14ac:dyDescent="0.3">
      <c r="A320">
        <v>330</v>
      </c>
      <c r="B320" s="4">
        <v>40558</v>
      </c>
      <c r="C320">
        <v>1</v>
      </c>
      <c r="D320">
        <v>0</v>
      </c>
      <c r="E320">
        <v>1</v>
      </c>
      <c r="F320">
        <v>5</v>
      </c>
      <c r="G320" t="b">
        <v>0</v>
      </c>
      <c r="H320">
        <v>6</v>
      </c>
      <c r="I320">
        <v>1</v>
      </c>
      <c r="J320">
        <v>0.16</v>
      </c>
      <c r="K320">
        <v>330</v>
      </c>
      <c r="L320">
        <v>0.2273</v>
      </c>
      <c r="M320">
        <v>0.59</v>
      </c>
      <c r="N320">
        <v>0</v>
      </c>
      <c r="O320">
        <v>0</v>
      </c>
      <c r="P320">
        <v>1</v>
      </c>
      <c r="Q320">
        <v>1</v>
      </c>
    </row>
    <row r="321" spans="1:17" x14ac:dyDescent="0.3">
      <c r="A321">
        <v>331</v>
      </c>
      <c r="B321" s="4">
        <v>40558</v>
      </c>
      <c r="C321">
        <v>1</v>
      </c>
      <c r="D321">
        <v>0</v>
      </c>
      <c r="E321">
        <v>1</v>
      </c>
      <c r="F321">
        <v>6</v>
      </c>
      <c r="G321" t="b">
        <v>0</v>
      </c>
      <c r="H321">
        <v>6</v>
      </c>
      <c r="I321">
        <v>1</v>
      </c>
      <c r="J321">
        <v>0.14000000000000001</v>
      </c>
      <c r="K321">
        <v>331</v>
      </c>
      <c r="L321">
        <v>0.16669999999999999</v>
      </c>
      <c r="M321">
        <v>0.63</v>
      </c>
      <c r="N321">
        <v>0.1045</v>
      </c>
      <c r="O321">
        <v>1</v>
      </c>
      <c r="P321">
        <v>2</v>
      </c>
      <c r="Q321">
        <v>3</v>
      </c>
    </row>
    <row r="322" spans="1:17" x14ac:dyDescent="0.3">
      <c r="A322">
        <v>332</v>
      </c>
      <c r="B322" s="4">
        <v>40558</v>
      </c>
      <c r="C322">
        <v>1</v>
      </c>
      <c r="D322">
        <v>0</v>
      </c>
      <c r="E322">
        <v>1</v>
      </c>
      <c r="F322">
        <v>7</v>
      </c>
      <c r="G322" t="b">
        <v>0</v>
      </c>
      <c r="H322">
        <v>6</v>
      </c>
      <c r="I322">
        <v>1</v>
      </c>
      <c r="J322">
        <v>0.14000000000000001</v>
      </c>
      <c r="K322">
        <v>332</v>
      </c>
      <c r="L322">
        <v>0.21210000000000001</v>
      </c>
      <c r="M322">
        <v>0.63</v>
      </c>
      <c r="N322">
        <v>0</v>
      </c>
      <c r="O322">
        <v>1</v>
      </c>
      <c r="P322">
        <v>9</v>
      </c>
      <c r="Q322">
        <v>10</v>
      </c>
    </row>
    <row r="323" spans="1:17" x14ac:dyDescent="0.3">
      <c r="A323">
        <v>333</v>
      </c>
      <c r="B323" s="4">
        <v>40558</v>
      </c>
      <c r="C323">
        <v>1</v>
      </c>
      <c r="D323">
        <v>0</v>
      </c>
      <c r="E323">
        <v>1</v>
      </c>
      <c r="F323">
        <v>8</v>
      </c>
      <c r="G323" t="b">
        <v>0</v>
      </c>
      <c r="H323">
        <v>6</v>
      </c>
      <c r="I323">
        <v>1</v>
      </c>
      <c r="J323">
        <v>0.14000000000000001</v>
      </c>
      <c r="K323">
        <v>333</v>
      </c>
      <c r="L323">
        <v>0.1515</v>
      </c>
      <c r="M323">
        <v>0.63</v>
      </c>
      <c r="N323">
        <v>0.1343</v>
      </c>
      <c r="O323">
        <v>1</v>
      </c>
      <c r="P323">
        <v>22</v>
      </c>
      <c r="Q323">
        <v>23</v>
      </c>
    </row>
    <row r="324" spans="1:17" x14ac:dyDescent="0.3">
      <c r="A324">
        <v>334</v>
      </c>
      <c r="B324" s="4">
        <v>40558</v>
      </c>
      <c r="C324">
        <v>1</v>
      </c>
      <c r="D324">
        <v>0</v>
      </c>
      <c r="E324">
        <v>1</v>
      </c>
      <c r="F324">
        <v>9</v>
      </c>
      <c r="G324" t="b">
        <v>0</v>
      </c>
      <c r="H324">
        <v>6</v>
      </c>
      <c r="I324">
        <v>1</v>
      </c>
      <c r="J324">
        <v>0.16</v>
      </c>
      <c r="K324">
        <v>334</v>
      </c>
      <c r="L324">
        <v>0.18179999999999999</v>
      </c>
      <c r="M324">
        <v>0.64</v>
      </c>
      <c r="N324">
        <v>0.1343</v>
      </c>
      <c r="O324">
        <v>2</v>
      </c>
      <c r="P324">
        <v>31</v>
      </c>
      <c r="Q324">
        <v>33</v>
      </c>
    </row>
    <row r="325" spans="1:17" x14ac:dyDescent="0.3">
      <c r="A325">
        <v>335</v>
      </c>
      <c r="B325" s="4">
        <v>40558</v>
      </c>
      <c r="C325">
        <v>1</v>
      </c>
      <c r="D325">
        <v>0</v>
      </c>
      <c r="E325">
        <v>1</v>
      </c>
      <c r="F325">
        <v>10</v>
      </c>
      <c r="G325" t="b">
        <v>0</v>
      </c>
      <c r="H325">
        <v>6</v>
      </c>
      <c r="I325">
        <v>1</v>
      </c>
      <c r="J325">
        <v>0.18</v>
      </c>
      <c r="K325">
        <v>335</v>
      </c>
      <c r="L325">
        <v>0.19700000000000001</v>
      </c>
      <c r="M325">
        <v>0.59</v>
      </c>
      <c r="N325">
        <v>0.16420000000000001</v>
      </c>
      <c r="O325">
        <v>2</v>
      </c>
      <c r="P325">
        <v>57</v>
      </c>
      <c r="Q325">
        <v>59</v>
      </c>
    </row>
    <row r="326" spans="1:17" x14ac:dyDescent="0.3">
      <c r="A326">
        <v>336</v>
      </c>
      <c r="B326" s="4">
        <v>40558</v>
      </c>
      <c r="C326">
        <v>1</v>
      </c>
      <c r="D326">
        <v>0</v>
      </c>
      <c r="E326">
        <v>1</v>
      </c>
      <c r="F326">
        <v>11</v>
      </c>
      <c r="G326" t="b">
        <v>0</v>
      </c>
      <c r="H326">
        <v>6</v>
      </c>
      <c r="I326">
        <v>1</v>
      </c>
      <c r="J326">
        <v>0.2</v>
      </c>
      <c r="K326">
        <v>336</v>
      </c>
      <c r="L326">
        <v>0.19700000000000001</v>
      </c>
      <c r="M326">
        <v>0.55000000000000004</v>
      </c>
      <c r="N326">
        <v>0.22389999999999999</v>
      </c>
      <c r="O326">
        <v>18</v>
      </c>
      <c r="P326">
        <v>54</v>
      </c>
      <c r="Q326">
        <v>72</v>
      </c>
    </row>
    <row r="327" spans="1:17" x14ac:dyDescent="0.3">
      <c r="A327">
        <v>337</v>
      </c>
      <c r="B327" s="4">
        <v>40558</v>
      </c>
      <c r="C327">
        <v>1</v>
      </c>
      <c r="D327">
        <v>0</v>
      </c>
      <c r="E327">
        <v>1</v>
      </c>
      <c r="F327">
        <v>12</v>
      </c>
      <c r="G327" t="b">
        <v>0</v>
      </c>
      <c r="H327">
        <v>6</v>
      </c>
      <c r="I327">
        <v>1</v>
      </c>
      <c r="J327">
        <v>0.24</v>
      </c>
      <c r="K327">
        <v>337</v>
      </c>
      <c r="L327">
        <v>0.2273</v>
      </c>
      <c r="M327">
        <v>0.48</v>
      </c>
      <c r="N327">
        <v>0.22389999999999999</v>
      </c>
      <c r="O327">
        <v>15</v>
      </c>
      <c r="P327">
        <v>74</v>
      </c>
      <c r="Q327">
        <v>89</v>
      </c>
    </row>
    <row r="328" spans="1:17" x14ac:dyDescent="0.3">
      <c r="A328">
        <v>338</v>
      </c>
      <c r="B328" s="4">
        <v>40558</v>
      </c>
      <c r="C328">
        <v>1</v>
      </c>
      <c r="D328">
        <v>0</v>
      </c>
      <c r="E328">
        <v>1</v>
      </c>
      <c r="F328">
        <v>13</v>
      </c>
      <c r="G328" t="b">
        <v>0</v>
      </c>
      <c r="H328">
        <v>6</v>
      </c>
      <c r="I328">
        <v>1</v>
      </c>
      <c r="J328">
        <v>0.28000000000000003</v>
      </c>
      <c r="K328">
        <v>338</v>
      </c>
      <c r="L328">
        <v>0.2576</v>
      </c>
      <c r="M328">
        <v>0.38</v>
      </c>
      <c r="N328">
        <v>0.29849999999999999</v>
      </c>
      <c r="O328">
        <v>21</v>
      </c>
      <c r="P328">
        <v>80</v>
      </c>
      <c r="Q328">
        <v>101</v>
      </c>
    </row>
    <row r="329" spans="1:17" x14ac:dyDescent="0.3">
      <c r="A329">
        <v>339</v>
      </c>
      <c r="B329" s="4">
        <v>40558</v>
      </c>
      <c r="C329">
        <v>1</v>
      </c>
      <c r="D329">
        <v>0</v>
      </c>
      <c r="E329">
        <v>1</v>
      </c>
      <c r="F329">
        <v>14</v>
      </c>
      <c r="G329" t="b">
        <v>0</v>
      </c>
      <c r="H329">
        <v>6</v>
      </c>
      <c r="I329">
        <v>1</v>
      </c>
      <c r="J329">
        <v>0.3</v>
      </c>
      <c r="K329">
        <v>339</v>
      </c>
      <c r="L329">
        <v>0.28789999999999999</v>
      </c>
      <c r="M329">
        <v>0.39</v>
      </c>
      <c r="N329">
        <v>0.28360000000000002</v>
      </c>
      <c r="O329">
        <v>26</v>
      </c>
      <c r="P329">
        <v>92</v>
      </c>
      <c r="Q329">
        <v>118</v>
      </c>
    </row>
    <row r="330" spans="1:17" x14ac:dyDescent="0.3">
      <c r="A330">
        <v>340</v>
      </c>
      <c r="B330" s="4">
        <v>40558</v>
      </c>
      <c r="C330">
        <v>1</v>
      </c>
      <c r="D330">
        <v>0</v>
      </c>
      <c r="E330">
        <v>1</v>
      </c>
      <c r="F330">
        <v>15</v>
      </c>
      <c r="G330" t="b">
        <v>0</v>
      </c>
      <c r="H330">
        <v>6</v>
      </c>
      <c r="I330">
        <v>2</v>
      </c>
      <c r="J330">
        <v>0.32</v>
      </c>
      <c r="K330">
        <v>340</v>
      </c>
      <c r="L330">
        <v>0.31819999999999998</v>
      </c>
      <c r="M330">
        <v>0.36</v>
      </c>
      <c r="N330">
        <v>0.19400000000000001</v>
      </c>
      <c r="O330">
        <v>21</v>
      </c>
      <c r="P330">
        <v>108</v>
      </c>
      <c r="Q330">
        <v>129</v>
      </c>
    </row>
    <row r="331" spans="1:17" x14ac:dyDescent="0.3">
      <c r="A331">
        <v>341</v>
      </c>
      <c r="B331" s="4">
        <v>40558</v>
      </c>
      <c r="C331">
        <v>1</v>
      </c>
      <c r="D331">
        <v>0</v>
      </c>
      <c r="E331">
        <v>1</v>
      </c>
      <c r="F331">
        <v>16</v>
      </c>
      <c r="G331" t="b">
        <v>0</v>
      </c>
      <c r="H331">
        <v>6</v>
      </c>
      <c r="I331">
        <v>2</v>
      </c>
      <c r="J331">
        <v>0.34</v>
      </c>
      <c r="K331">
        <v>341</v>
      </c>
      <c r="L331">
        <v>0.33329999999999999</v>
      </c>
      <c r="M331">
        <v>0.34</v>
      </c>
      <c r="N331">
        <v>0.19400000000000001</v>
      </c>
      <c r="O331">
        <v>33</v>
      </c>
      <c r="P331">
        <v>95</v>
      </c>
      <c r="Q331">
        <v>128</v>
      </c>
    </row>
    <row r="332" spans="1:17" x14ac:dyDescent="0.3">
      <c r="A332">
        <v>342</v>
      </c>
      <c r="B332" s="4">
        <v>40558</v>
      </c>
      <c r="C332">
        <v>1</v>
      </c>
      <c r="D332">
        <v>0</v>
      </c>
      <c r="E332">
        <v>1</v>
      </c>
      <c r="F332">
        <v>17</v>
      </c>
      <c r="G332" t="b">
        <v>0</v>
      </c>
      <c r="H332">
        <v>6</v>
      </c>
      <c r="I332">
        <v>2</v>
      </c>
      <c r="J332">
        <v>0.32</v>
      </c>
      <c r="K332">
        <v>342</v>
      </c>
      <c r="L332">
        <v>0.30299999999999999</v>
      </c>
      <c r="M332">
        <v>0.36</v>
      </c>
      <c r="N332">
        <v>0.28360000000000002</v>
      </c>
      <c r="O332">
        <v>29</v>
      </c>
      <c r="P332">
        <v>54</v>
      </c>
      <c r="Q332">
        <v>83</v>
      </c>
    </row>
    <row r="333" spans="1:17" x14ac:dyDescent="0.3">
      <c r="A333">
        <v>343</v>
      </c>
      <c r="B333" s="4">
        <v>40558</v>
      </c>
      <c r="C333">
        <v>1</v>
      </c>
      <c r="D333">
        <v>0</v>
      </c>
      <c r="E333">
        <v>1</v>
      </c>
      <c r="F333">
        <v>18</v>
      </c>
      <c r="G333" t="b">
        <v>0</v>
      </c>
      <c r="H333">
        <v>6</v>
      </c>
      <c r="I333">
        <v>2</v>
      </c>
      <c r="J333">
        <v>0.3</v>
      </c>
      <c r="K333">
        <v>343</v>
      </c>
      <c r="L333">
        <v>0.28789999999999999</v>
      </c>
      <c r="M333">
        <v>0.45</v>
      </c>
      <c r="N333">
        <v>0.25369999999999998</v>
      </c>
      <c r="O333">
        <v>15</v>
      </c>
      <c r="P333">
        <v>69</v>
      </c>
      <c r="Q333">
        <v>84</v>
      </c>
    </row>
    <row r="334" spans="1:17" x14ac:dyDescent="0.3">
      <c r="A334">
        <v>344</v>
      </c>
      <c r="B334" s="4">
        <v>40558</v>
      </c>
      <c r="C334">
        <v>1</v>
      </c>
      <c r="D334">
        <v>0</v>
      </c>
      <c r="E334">
        <v>1</v>
      </c>
      <c r="F334">
        <v>19</v>
      </c>
      <c r="G334" t="b">
        <v>0</v>
      </c>
      <c r="H334">
        <v>6</v>
      </c>
      <c r="I334">
        <v>2</v>
      </c>
      <c r="J334">
        <v>0.32</v>
      </c>
      <c r="K334">
        <v>344</v>
      </c>
      <c r="L334">
        <v>0.30299999999999999</v>
      </c>
      <c r="M334">
        <v>0.39</v>
      </c>
      <c r="N334">
        <v>0.25369999999999998</v>
      </c>
      <c r="O334">
        <v>14</v>
      </c>
      <c r="P334">
        <v>60</v>
      </c>
      <c r="Q334">
        <v>74</v>
      </c>
    </row>
    <row r="335" spans="1:17" x14ac:dyDescent="0.3">
      <c r="A335">
        <v>345</v>
      </c>
      <c r="B335" s="4">
        <v>40558</v>
      </c>
      <c r="C335">
        <v>1</v>
      </c>
      <c r="D335">
        <v>0</v>
      </c>
      <c r="E335">
        <v>1</v>
      </c>
      <c r="F335">
        <v>20</v>
      </c>
      <c r="G335" t="b">
        <v>0</v>
      </c>
      <c r="H335">
        <v>6</v>
      </c>
      <c r="I335">
        <v>2</v>
      </c>
      <c r="J335">
        <v>0.32</v>
      </c>
      <c r="K335">
        <v>345</v>
      </c>
      <c r="L335">
        <v>0.30299999999999999</v>
      </c>
      <c r="M335">
        <v>0.39</v>
      </c>
      <c r="N335">
        <v>0.25369999999999998</v>
      </c>
      <c r="O335">
        <v>6</v>
      </c>
      <c r="P335">
        <v>35</v>
      </c>
      <c r="Q335">
        <v>41</v>
      </c>
    </row>
    <row r="336" spans="1:17" x14ac:dyDescent="0.3">
      <c r="A336">
        <v>346</v>
      </c>
      <c r="B336" s="4">
        <v>40558</v>
      </c>
      <c r="C336">
        <v>1</v>
      </c>
      <c r="D336">
        <v>0</v>
      </c>
      <c r="E336">
        <v>1</v>
      </c>
      <c r="F336">
        <v>21</v>
      </c>
      <c r="G336" t="b">
        <v>0</v>
      </c>
      <c r="H336">
        <v>6</v>
      </c>
      <c r="I336">
        <v>2</v>
      </c>
      <c r="J336">
        <v>0.32</v>
      </c>
      <c r="K336">
        <v>346</v>
      </c>
      <c r="L336">
        <v>0.30299999999999999</v>
      </c>
      <c r="M336">
        <v>0.39</v>
      </c>
      <c r="N336">
        <v>0.22389999999999999</v>
      </c>
      <c r="O336">
        <v>6</v>
      </c>
      <c r="P336">
        <v>51</v>
      </c>
      <c r="Q336">
        <v>57</v>
      </c>
    </row>
    <row r="337" spans="1:17" x14ac:dyDescent="0.3">
      <c r="A337">
        <v>347</v>
      </c>
      <c r="B337" s="4">
        <v>40558</v>
      </c>
      <c r="C337">
        <v>1</v>
      </c>
      <c r="D337">
        <v>0</v>
      </c>
      <c r="E337">
        <v>1</v>
      </c>
      <c r="F337">
        <v>22</v>
      </c>
      <c r="G337" t="b">
        <v>0</v>
      </c>
      <c r="H337">
        <v>6</v>
      </c>
      <c r="I337">
        <v>2</v>
      </c>
      <c r="J337">
        <v>0.3</v>
      </c>
      <c r="K337">
        <v>347</v>
      </c>
      <c r="L337">
        <v>0.31819999999999998</v>
      </c>
      <c r="M337">
        <v>0.42</v>
      </c>
      <c r="N337">
        <v>0.1045</v>
      </c>
      <c r="O337">
        <v>0</v>
      </c>
      <c r="P337">
        <v>26</v>
      </c>
      <c r="Q337">
        <v>26</v>
      </c>
    </row>
    <row r="338" spans="1:17" x14ac:dyDescent="0.3">
      <c r="A338">
        <v>348</v>
      </c>
      <c r="B338" s="4">
        <v>40558</v>
      </c>
      <c r="C338">
        <v>1</v>
      </c>
      <c r="D338">
        <v>0</v>
      </c>
      <c r="E338">
        <v>1</v>
      </c>
      <c r="F338">
        <v>23</v>
      </c>
      <c r="G338" t="b">
        <v>0</v>
      </c>
      <c r="H338">
        <v>6</v>
      </c>
      <c r="I338">
        <v>1</v>
      </c>
      <c r="J338">
        <v>0.3</v>
      </c>
      <c r="K338">
        <v>348</v>
      </c>
      <c r="L338">
        <v>0.28789999999999999</v>
      </c>
      <c r="M338">
        <v>0.45</v>
      </c>
      <c r="N338">
        <v>0.28360000000000002</v>
      </c>
      <c r="O338">
        <v>5</v>
      </c>
      <c r="P338">
        <v>39</v>
      </c>
      <c r="Q338">
        <v>44</v>
      </c>
    </row>
    <row r="339" spans="1:17" x14ac:dyDescent="0.3">
      <c r="A339">
        <v>349</v>
      </c>
      <c r="B339" s="4">
        <v>40559</v>
      </c>
      <c r="C339">
        <v>1</v>
      </c>
      <c r="D339">
        <v>0</v>
      </c>
      <c r="E339">
        <v>1</v>
      </c>
      <c r="F339">
        <v>0</v>
      </c>
      <c r="G339" t="b">
        <v>0</v>
      </c>
      <c r="H339">
        <v>0</v>
      </c>
      <c r="I339">
        <v>1</v>
      </c>
      <c r="J339">
        <v>0.26</v>
      </c>
      <c r="K339">
        <v>349</v>
      </c>
      <c r="L339">
        <v>0.30299999999999999</v>
      </c>
      <c r="M339">
        <v>0.56000000000000005</v>
      </c>
      <c r="N339">
        <v>0</v>
      </c>
      <c r="O339">
        <v>6</v>
      </c>
      <c r="P339">
        <v>33</v>
      </c>
      <c r="Q339">
        <v>39</v>
      </c>
    </row>
    <row r="340" spans="1:17" x14ac:dyDescent="0.3">
      <c r="A340">
        <v>350</v>
      </c>
      <c r="B340" s="4">
        <v>40559</v>
      </c>
      <c r="C340">
        <v>1</v>
      </c>
      <c r="D340">
        <v>0</v>
      </c>
      <c r="E340">
        <v>1</v>
      </c>
      <c r="F340">
        <v>1</v>
      </c>
      <c r="G340" t="b">
        <v>0</v>
      </c>
      <c r="H340">
        <v>0</v>
      </c>
      <c r="I340">
        <v>1</v>
      </c>
      <c r="J340">
        <v>0.26</v>
      </c>
      <c r="K340">
        <v>350</v>
      </c>
      <c r="L340">
        <v>0.2727</v>
      </c>
      <c r="M340">
        <v>0.56000000000000005</v>
      </c>
      <c r="N340">
        <v>0.1343</v>
      </c>
      <c r="O340">
        <v>4</v>
      </c>
      <c r="P340">
        <v>19</v>
      </c>
      <c r="Q340">
        <v>23</v>
      </c>
    </row>
    <row r="341" spans="1:17" x14ac:dyDescent="0.3">
      <c r="A341">
        <v>351</v>
      </c>
      <c r="B341" s="4">
        <v>40559</v>
      </c>
      <c r="C341">
        <v>1</v>
      </c>
      <c r="D341">
        <v>0</v>
      </c>
      <c r="E341">
        <v>1</v>
      </c>
      <c r="F341">
        <v>2</v>
      </c>
      <c r="G341" t="b">
        <v>0</v>
      </c>
      <c r="H341">
        <v>0</v>
      </c>
      <c r="I341">
        <v>1</v>
      </c>
      <c r="J341">
        <v>0.26</v>
      </c>
      <c r="K341">
        <v>351</v>
      </c>
      <c r="L341">
        <v>0.28789999999999999</v>
      </c>
      <c r="M341">
        <v>0.56000000000000005</v>
      </c>
      <c r="N341">
        <v>8.9599999999999999E-2</v>
      </c>
      <c r="O341">
        <v>3</v>
      </c>
      <c r="P341">
        <v>13</v>
      </c>
      <c r="Q341">
        <v>16</v>
      </c>
    </row>
    <row r="342" spans="1:17" x14ac:dyDescent="0.3">
      <c r="A342">
        <v>352</v>
      </c>
      <c r="B342" s="4">
        <v>40559</v>
      </c>
      <c r="C342">
        <v>1</v>
      </c>
      <c r="D342">
        <v>0</v>
      </c>
      <c r="E342">
        <v>1</v>
      </c>
      <c r="F342">
        <v>3</v>
      </c>
      <c r="G342" t="b">
        <v>0</v>
      </c>
      <c r="H342">
        <v>0</v>
      </c>
      <c r="I342">
        <v>1</v>
      </c>
      <c r="J342">
        <v>0.22</v>
      </c>
      <c r="K342">
        <v>352</v>
      </c>
      <c r="L342">
        <v>0.2727</v>
      </c>
      <c r="M342">
        <v>0.69</v>
      </c>
      <c r="N342">
        <v>0</v>
      </c>
      <c r="O342">
        <v>9</v>
      </c>
      <c r="P342">
        <v>6</v>
      </c>
      <c r="Q342">
        <v>15</v>
      </c>
    </row>
    <row r="343" spans="1:17" x14ac:dyDescent="0.3">
      <c r="A343">
        <v>353</v>
      </c>
      <c r="B343" s="4">
        <v>40559</v>
      </c>
      <c r="C343">
        <v>1</v>
      </c>
      <c r="D343">
        <v>0</v>
      </c>
      <c r="E343">
        <v>1</v>
      </c>
      <c r="F343">
        <v>4</v>
      </c>
      <c r="G343" t="b">
        <v>0</v>
      </c>
      <c r="H343">
        <v>0</v>
      </c>
      <c r="I343">
        <v>1</v>
      </c>
      <c r="J343">
        <v>0.26</v>
      </c>
      <c r="K343">
        <v>353</v>
      </c>
      <c r="L343">
        <v>0.2576</v>
      </c>
      <c r="M343">
        <v>0.56000000000000005</v>
      </c>
      <c r="N343">
        <v>0.16420000000000001</v>
      </c>
      <c r="O343">
        <v>0</v>
      </c>
      <c r="P343">
        <v>1</v>
      </c>
      <c r="Q343">
        <v>1</v>
      </c>
    </row>
    <row r="344" spans="1:17" x14ac:dyDescent="0.3">
      <c r="A344">
        <v>354</v>
      </c>
      <c r="B344" s="4">
        <v>40559</v>
      </c>
      <c r="C344">
        <v>1</v>
      </c>
      <c r="D344">
        <v>0</v>
      </c>
      <c r="E344">
        <v>1</v>
      </c>
      <c r="F344">
        <v>5</v>
      </c>
      <c r="G344" t="b">
        <v>0</v>
      </c>
      <c r="H344">
        <v>0</v>
      </c>
      <c r="I344">
        <v>2</v>
      </c>
      <c r="J344">
        <v>0.26</v>
      </c>
      <c r="K344">
        <v>354</v>
      </c>
      <c r="L344">
        <v>0.2576</v>
      </c>
      <c r="M344">
        <v>0.56000000000000005</v>
      </c>
      <c r="N344">
        <v>0.16420000000000001</v>
      </c>
      <c r="O344">
        <v>1</v>
      </c>
      <c r="P344">
        <v>1</v>
      </c>
      <c r="Q344">
        <v>2</v>
      </c>
    </row>
    <row r="345" spans="1:17" x14ac:dyDescent="0.3">
      <c r="A345">
        <v>355</v>
      </c>
      <c r="B345" s="4">
        <v>40559</v>
      </c>
      <c r="C345">
        <v>1</v>
      </c>
      <c r="D345">
        <v>0</v>
      </c>
      <c r="E345">
        <v>1</v>
      </c>
      <c r="F345">
        <v>6</v>
      </c>
      <c r="G345" t="b">
        <v>0</v>
      </c>
      <c r="H345">
        <v>0</v>
      </c>
      <c r="I345">
        <v>2</v>
      </c>
      <c r="J345">
        <v>0.26</v>
      </c>
      <c r="K345">
        <v>355</v>
      </c>
      <c r="L345">
        <v>0.2576</v>
      </c>
      <c r="M345">
        <v>0.56000000000000005</v>
      </c>
      <c r="N345">
        <v>0.16420000000000001</v>
      </c>
      <c r="O345">
        <v>0</v>
      </c>
      <c r="P345">
        <v>1</v>
      </c>
      <c r="Q345">
        <v>1</v>
      </c>
    </row>
    <row r="346" spans="1:17" x14ac:dyDescent="0.3">
      <c r="A346">
        <v>356</v>
      </c>
      <c r="B346" s="4">
        <v>40559</v>
      </c>
      <c r="C346">
        <v>1</v>
      </c>
      <c r="D346">
        <v>0</v>
      </c>
      <c r="E346">
        <v>1</v>
      </c>
      <c r="F346">
        <v>7</v>
      </c>
      <c r="G346" t="b">
        <v>0</v>
      </c>
      <c r="H346">
        <v>0</v>
      </c>
      <c r="I346">
        <v>2</v>
      </c>
      <c r="J346">
        <v>0.24</v>
      </c>
      <c r="K346">
        <v>356</v>
      </c>
      <c r="L346">
        <v>0.21210000000000001</v>
      </c>
      <c r="M346">
        <v>0.56000000000000005</v>
      </c>
      <c r="N346">
        <v>0.29849999999999999</v>
      </c>
      <c r="O346">
        <v>0</v>
      </c>
      <c r="P346">
        <v>3</v>
      </c>
      <c r="Q346">
        <v>3</v>
      </c>
    </row>
    <row r="347" spans="1:17" x14ac:dyDescent="0.3">
      <c r="A347">
        <v>357</v>
      </c>
      <c r="B347" s="4">
        <v>40559</v>
      </c>
      <c r="C347">
        <v>1</v>
      </c>
      <c r="D347">
        <v>0</v>
      </c>
      <c r="E347">
        <v>1</v>
      </c>
      <c r="F347">
        <v>8</v>
      </c>
      <c r="G347" t="b">
        <v>0</v>
      </c>
      <c r="H347">
        <v>0</v>
      </c>
      <c r="I347">
        <v>1</v>
      </c>
      <c r="J347">
        <v>0.22</v>
      </c>
      <c r="K347">
        <v>357</v>
      </c>
      <c r="L347">
        <v>0.21210000000000001</v>
      </c>
      <c r="M347">
        <v>0.55000000000000004</v>
      </c>
      <c r="N347">
        <v>0.28360000000000002</v>
      </c>
      <c r="O347">
        <v>0</v>
      </c>
      <c r="P347">
        <v>18</v>
      </c>
      <c r="Q347">
        <v>18</v>
      </c>
    </row>
    <row r="348" spans="1:17" x14ac:dyDescent="0.3">
      <c r="A348">
        <v>358</v>
      </c>
      <c r="B348" s="4">
        <v>40559</v>
      </c>
      <c r="C348">
        <v>1</v>
      </c>
      <c r="D348">
        <v>0</v>
      </c>
      <c r="E348">
        <v>1</v>
      </c>
      <c r="F348">
        <v>9</v>
      </c>
      <c r="G348" t="b">
        <v>0</v>
      </c>
      <c r="H348">
        <v>0</v>
      </c>
      <c r="I348">
        <v>1</v>
      </c>
      <c r="J348">
        <v>0.22</v>
      </c>
      <c r="K348">
        <v>358</v>
      </c>
      <c r="L348">
        <v>0.21210000000000001</v>
      </c>
      <c r="M348">
        <v>0.51</v>
      </c>
      <c r="N348">
        <v>0.25369999999999998</v>
      </c>
      <c r="O348">
        <v>3</v>
      </c>
      <c r="P348">
        <v>29</v>
      </c>
      <c r="Q348">
        <v>32</v>
      </c>
    </row>
    <row r="349" spans="1:17" x14ac:dyDescent="0.3">
      <c r="A349">
        <v>359</v>
      </c>
      <c r="B349" s="4">
        <v>40559</v>
      </c>
      <c r="C349">
        <v>1</v>
      </c>
      <c r="D349">
        <v>0</v>
      </c>
      <c r="E349">
        <v>1</v>
      </c>
      <c r="F349">
        <v>10</v>
      </c>
      <c r="G349" t="b">
        <v>0</v>
      </c>
      <c r="H349">
        <v>0</v>
      </c>
      <c r="I349">
        <v>1</v>
      </c>
      <c r="J349">
        <v>0.22</v>
      </c>
      <c r="K349">
        <v>359</v>
      </c>
      <c r="L349">
        <v>0.21210000000000001</v>
      </c>
      <c r="M349">
        <v>0.51</v>
      </c>
      <c r="N349">
        <v>0.28360000000000002</v>
      </c>
      <c r="O349">
        <v>8</v>
      </c>
      <c r="P349">
        <v>71</v>
      </c>
      <c r="Q349">
        <v>79</v>
      </c>
    </row>
    <row r="350" spans="1:17" x14ac:dyDescent="0.3">
      <c r="A350">
        <v>360</v>
      </c>
      <c r="B350" s="4">
        <v>40559</v>
      </c>
      <c r="C350">
        <v>1</v>
      </c>
      <c r="D350">
        <v>0</v>
      </c>
      <c r="E350">
        <v>1</v>
      </c>
      <c r="F350">
        <v>11</v>
      </c>
      <c r="G350" t="b">
        <v>0</v>
      </c>
      <c r="H350">
        <v>0</v>
      </c>
      <c r="I350">
        <v>1</v>
      </c>
      <c r="J350">
        <v>0.24</v>
      </c>
      <c r="K350">
        <v>360</v>
      </c>
      <c r="L350">
        <v>0.2273</v>
      </c>
      <c r="M350">
        <v>0.44</v>
      </c>
      <c r="N350">
        <v>0.25369999999999998</v>
      </c>
      <c r="O350">
        <v>23</v>
      </c>
      <c r="P350">
        <v>70</v>
      </c>
      <c r="Q350">
        <v>93</v>
      </c>
    </row>
    <row r="351" spans="1:17" x14ac:dyDescent="0.3">
      <c r="A351">
        <v>361</v>
      </c>
      <c r="B351" s="4">
        <v>40559</v>
      </c>
      <c r="C351">
        <v>1</v>
      </c>
      <c r="D351">
        <v>0</v>
      </c>
      <c r="E351">
        <v>1</v>
      </c>
      <c r="F351">
        <v>12</v>
      </c>
      <c r="G351" t="b">
        <v>0</v>
      </c>
      <c r="H351">
        <v>0</v>
      </c>
      <c r="I351">
        <v>1</v>
      </c>
      <c r="J351">
        <v>0.24</v>
      </c>
      <c r="K351">
        <v>361</v>
      </c>
      <c r="L351">
        <v>0.21210000000000001</v>
      </c>
      <c r="M351">
        <v>0.41</v>
      </c>
      <c r="N351">
        <v>0.28360000000000002</v>
      </c>
      <c r="O351">
        <v>29</v>
      </c>
      <c r="P351">
        <v>75</v>
      </c>
      <c r="Q351">
        <v>104</v>
      </c>
    </row>
    <row r="352" spans="1:17" x14ac:dyDescent="0.3">
      <c r="A352">
        <v>362</v>
      </c>
      <c r="B352" s="4">
        <v>40559</v>
      </c>
      <c r="C352">
        <v>1</v>
      </c>
      <c r="D352">
        <v>0</v>
      </c>
      <c r="E352">
        <v>1</v>
      </c>
      <c r="F352">
        <v>13</v>
      </c>
      <c r="G352" t="b">
        <v>0</v>
      </c>
      <c r="H352">
        <v>0</v>
      </c>
      <c r="I352">
        <v>1</v>
      </c>
      <c r="J352">
        <v>0.26</v>
      </c>
      <c r="K352">
        <v>362</v>
      </c>
      <c r="L352">
        <v>0.2273</v>
      </c>
      <c r="M352">
        <v>0.35</v>
      </c>
      <c r="N352">
        <v>0.29849999999999999</v>
      </c>
      <c r="O352">
        <v>23</v>
      </c>
      <c r="P352">
        <v>95</v>
      </c>
      <c r="Q352">
        <v>118</v>
      </c>
    </row>
    <row r="353" spans="1:17" x14ac:dyDescent="0.3">
      <c r="A353">
        <v>363</v>
      </c>
      <c r="B353" s="4">
        <v>40559</v>
      </c>
      <c r="C353">
        <v>1</v>
      </c>
      <c r="D353">
        <v>0</v>
      </c>
      <c r="E353">
        <v>1</v>
      </c>
      <c r="F353">
        <v>14</v>
      </c>
      <c r="G353" t="b">
        <v>0</v>
      </c>
      <c r="H353">
        <v>0</v>
      </c>
      <c r="I353">
        <v>1</v>
      </c>
      <c r="J353">
        <v>0.28000000000000003</v>
      </c>
      <c r="K353">
        <v>363</v>
      </c>
      <c r="L353">
        <v>0.2727</v>
      </c>
      <c r="M353">
        <v>0.36</v>
      </c>
      <c r="N353">
        <v>0.25369999999999998</v>
      </c>
      <c r="O353">
        <v>22</v>
      </c>
      <c r="P353">
        <v>69</v>
      </c>
      <c r="Q353">
        <v>91</v>
      </c>
    </row>
    <row r="354" spans="1:17" x14ac:dyDescent="0.3">
      <c r="A354">
        <v>364</v>
      </c>
      <c r="B354" s="4">
        <v>40559</v>
      </c>
      <c r="C354">
        <v>1</v>
      </c>
      <c r="D354">
        <v>0</v>
      </c>
      <c r="E354">
        <v>1</v>
      </c>
      <c r="F354">
        <v>15</v>
      </c>
      <c r="G354" t="b">
        <v>0</v>
      </c>
      <c r="H354">
        <v>0</v>
      </c>
      <c r="I354">
        <v>1</v>
      </c>
      <c r="J354">
        <v>0.26</v>
      </c>
      <c r="K354">
        <v>364</v>
      </c>
      <c r="L354">
        <v>0.2424</v>
      </c>
      <c r="M354">
        <v>0.38</v>
      </c>
      <c r="N354">
        <v>0.25369999999999998</v>
      </c>
      <c r="O354">
        <v>35</v>
      </c>
      <c r="P354">
        <v>78</v>
      </c>
      <c r="Q354">
        <v>113</v>
      </c>
    </row>
    <row r="355" spans="1:17" x14ac:dyDescent="0.3">
      <c r="A355">
        <v>365</v>
      </c>
      <c r="B355" s="4">
        <v>40559</v>
      </c>
      <c r="C355">
        <v>1</v>
      </c>
      <c r="D355">
        <v>0</v>
      </c>
      <c r="E355">
        <v>1</v>
      </c>
      <c r="F355">
        <v>16</v>
      </c>
      <c r="G355" t="b">
        <v>0</v>
      </c>
      <c r="H355">
        <v>0</v>
      </c>
      <c r="I355">
        <v>1</v>
      </c>
      <c r="J355">
        <v>0.24</v>
      </c>
      <c r="K355">
        <v>365</v>
      </c>
      <c r="L355">
        <v>0.2273</v>
      </c>
      <c r="M355">
        <v>0.38</v>
      </c>
      <c r="N355">
        <v>0.22389999999999999</v>
      </c>
      <c r="O355">
        <v>22</v>
      </c>
      <c r="P355">
        <v>77</v>
      </c>
      <c r="Q355">
        <v>99</v>
      </c>
    </row>
    <row r="356" spans="1:17" x14ac:dyDescent="0.3">
      <c r="A356">
        <v>366</v>
      </c>
      <c r="B356" s="4">
        <v>40559</v>
      </c>
      <c r="C356">
        <v>1</v>
      </c>
      <c r="D356">
        <v>0</v>
      </c>
      <c r="E356">
        <v>1</v>
      </c>
      <c r="F356">
        <v>17</v>
      </c>
      <c r="G356" t="b">
        <v>0</v>
      </c>
      <c r="H356">
        <v>0</v>
      </c>
      <c r="I356">
        <v>1</v>
      </c>
      <c r="J356">
        <v>0.22</v>
      </c>
      <c r="K356">
        <v>366</v>
      </c>
      <c r="L356">
        <v>0.21210000000000001</v>
      </c>
      <c r="M356">
        <v>0.37</v>
      </c>
      <c r="N356">
        <v>0.25369999999999998</v>
      </c>
      <c r="O356">
        <v>23</v>
      </c>
      <c r="P356">
        <v>82</v>
      </c>
      <c r="Q356">
        <v>105</v>
      </c>
    </row>
    <row r="357" spans="1:17" x14ac:dyDescent="0.3">
      <c r="A357">
        <v>367</v>
      </c>
      <c r="B357" s="4">
        <v>40559</v>
      </c>
      <c r="C357">
        <v>1</v>
      </c>
      <c r="D357">
        <v>0</v>
      </c>
      <c r="E357">
        <v>1</v>
      </c>
      <c r="F357">
        <v>18</v>
      </c>
      <c r="G357" t="b">
        <v>0</v>
      </c>
      <c r="H357">
        <v>0</v>
      </c>
      <c r="I357">
        <v>1</v>
      </c>
      <c r="J357">
        <v>0.2</v>
      </c>
      <c r="K357">
        <v>367</v>
      </c>
      <c r="L357">
        <v>0.21210000000000001</v>
      </c>
      <c r="M357">
        <v>0.4</v>
      </c>
      <c r="N357">
        <v>0.16420000000000001</v>
      </c>
      <c r="O357">
        <v>11</v>
      </c>
      <c r="P357">
        <v>56</v>
      </c>
      <c r="Q357">
        <v>67</v>
      </c>
    </row>
    <row r="358" spans="1:17" x14ac:dyDescent="0.3">
      <c r="A358">
        <v>368</v>
      </c>
      <c r="B358" s="4">
        <v>40559</v>
      </c>
      <c r="C358">
        <v>1</v>
      </c>
      <c r="D358">
        <v>0</v>
      </c>
      <c r="E358">
        <v>1</v>
      </c>
      <c r="F358">
        <v>19</v>
      </c>
      <c r="G358" t="b">
        <v>0</v>
      </c>
      <c r="H358">
        <v>0</v>
      </c>
      <c r="I358">
        <v>1</v>
      </c>
      <c r="J358">
        <v>0.18</v>
      </c>
      <c r="K358">
        <v>368</v>
      </c>
      <c r="L358">
        <v>0.19700000000000001</v>
      </c>
      <c r="M358">
        <v>0.47</v>
      </c>
      <c r="N358">
        <v>0.1343</v>
      </c>
      <c r="O358">
        <v>14</v>
      </c>
      <c r="P358">
        <v>47</v>
      </c>
      <c r="Q358">
        <v>61</v>
      </c>
    </row>
    <row r="359" spans="1:17" x14ac:dyDescent="0.3">
      <c r="A359">
        <v>369</v>
      </c>
      <c r="B359" s="4">
        <v>40559</v>
      </c>
      <c r="C359">
        <v>1</v>
      </c>
      <c r="D359">
        <v>0</v>
      </c>
      <c r="E359">
        <v>1</v>
      </c>
      <c r="F359">
        <v>20</v>
      </c>
      <c r="G359" t="b">
        <v>0</v>
      </c>
      <c r="H359">
        <v>0</v>
      </c>
      <c r="I359">
        <v>1</v>
      </c>
      <c r="J359">
        <v>0.18</v>
      </c>
      <c r="K359">
        <v>369</v>
      </c>
      <c r="L359">
        <v>0.19700000000000001</v>
      </c>
      <c r="M359">
        <v>0.47</v>
      </c>
      <c r="N359">
        <v>0.16420000000000001</v>
      </c>
      <c r="O359">
        <v>7</v>
      </c>
      <c r="P359">
        <v>50</v>
      </c>
      <c r="Q359">
        <v>57</v>
      </c>
    </row>
    <row r="360" spans="1:17" x14ac:dyDescent="0.3">
      <c r="A360">
        <v>370</v>
      </c>
      <c r="B360" s="4">
        <v>40559</v>
      </c>
      <c r="C360">
        <v>1</v>
      </c>
      <c r="D360">
        <v>0</v>
      </c>
      <c r="E360">
        <v>1</v>
      </c>
      <c r="F360">
        <v>21</v>
      </c>
      <c r="G360" t="b">
        <v>0</v>
      </c>
      <c r="H360">
        <v>0</v>
      </c>
      <c r="I360">
        <v>1</v>
      </c>
      <c r="J360">
        <v>0.18</v>
      </c>
      <c r="K360">
        <v>370</v>
      </c>
      <c r="L360">
        <v>0.19700000000000001</v>
      </c>
      <c r="M360">
        <v>0.51</v>
      </c>
      <c r="N360">
        <v>0.16420000000000001</v>
      </c>
      <c r="O360">
        <v>6</v>
      </c>
      <c r="P360">
        <v>22</v>
      </c>
      <c r="Q360">
        <v>28</v>
      </c>
    </row>
    <row r="361" spans="1:17" x14ac:dyDescent="0.3">
      <c r="A361">
        <v>371</v>
      </c>
      <c r="B361" s="4">
        <v>40559</v>
      </c>
      <c r="C361">
        <v>1</v>
      </c>
      <c r="D361">
        <v>0</v>
      </c>
      <c r="E361">
        <v>1</v>
      </c>
      <c r="F361">
        <v>22</v>
      </c>
      <c r="G361" t="b">
        <v>0</v>
      </c>
      <c r="H361">
        <v>0</v>
      </c>
      <c r="I361">
        <v>2</v>
      </c>
      <c r="J361">
        <v>0.2</v>
      </c>
      <c r="K361">
        <v>371</v>
      </c>
      <c r="L361">
        <v>0.21210000000000001</v>
      </c>
      <c r="M361">
        <v>0.49</v>
      </c>
      <c r="N361">
        <v>0.1343</v>
      </c>
      <c r="O361">
        <v>2</v>
      </c>
      <c r="P361">
        <v>19</v>
      </c>
      <c r="Q361">
        <v>21</v>
      </c>
    </row>
    <row r="362" spans="1:17" x14ac:dyDescent="0.3">
      <c r="A362">
        <v>372</v>
      </c>
      <c r="B362" s="4">
        <v>40559</v>
      </c>
      <c r="C362">
        <v>1</v>
      </c>
      <c r="D362">
        <v>0</v>
      </c>
      <c r="E362">
        <v>1</v>
      </c>
      <c r="F362">
        <v>23</v>
      </c>
      <c r="G362" t="b">
        <v>0</v>
      </c>
      <c r="H362">
        <v>0</v>
      </c>
      <c r="I362">
        <v>2</v>
      </c>
      <c r="J362">
        <v>0.2</v>
      </c>
      <c r="K362">
        <v>372</v>
      </c>
      <c r="L362">
        <v>0.2273</v>
      </c>
      <c r="M362">
        <v>0.4</v>
      </c>
      <c r="N362">
        <v>0.1045</v>
      </c>
      <c r="O362">
        <v>0</v>
      </c>
      <c r="P362">
        <v>18</v>
      </c>
      <c r="Q362">
        <v>18</v>
      </c>
    </row>
    <row r="363" spans="1:17" x14ac:dyDescent="0.3">
      <c r="A363">
        <v>373</v>
      </c>
      <c r="B363" s="4">
        <v>40560</v>
      </c>
      <c r="C363">
        <v>1</v>
      </c>
      <c r="D363">
        <v>0</v>
      </c>
      <c r="E363">
        <v>1</v>
      </c>
      <c r="F363">
        <v>0</v>
      </c>
      <c r="G363" t="b">
        <v>1</v>
      </c>
      <c r="H363">
        <v>1</v>
      </c>
      <c r="I363">
        <v>2</v>
      </c>
      <c r="J363">
        <v>0.2</v>
      </c>
      <c r="K363">
        <v>373</v>
      </c>
      <c r="L363">
        <v>0.19700000000000001</v>
      </c>
      <c r="M363">
        <v>0.47</v>
      </c>
      <c r="N363">
        <v>0.22389999999999999</v>
      </c>
      <c r="O363">
        <v>1</v>
      </c>
      <c r="P363">
        <v>16</v>
      </c>
      <c r="Q363">
        <v>17</v>
      </c>
    </row>
    <row r="364" spans="1:17" x14ac:dyDescent="0.3">
      <c r="A364">
        <v>374</v>
      </c>
      <c r="B364" s="4">
        <v>40560</v>
      </c>
      <c r="C364">
        <v>1</v>
      </c>
      <c r="D364">
        <v>0</v>
      </c>
      <c r="E364">
        <v>1</v>
      </c>
      <c r="F364">
        <v>1</v>
      </c>
      <c r="G364" t="b">
        <v>1</v>
      </c>
      <c r="H364">
        <v>1</v>
      </c>
      <c r="I364">
        <v>2</v>
      </c>
      <c r="J364">
        <v>0.2</v>
      </c>
      <c r="K364">
        <v>374</v>
      </c>
      <c r="L364">
        <v>0.19700000000000001</v>
      </c>
      <c r="M364">
        <v>0.44</v>
      </c>
      <c r="N364">
        <v>0.19400000000000001</v>
      </c>
      <c r="O364">
        <v>1</v>
      </c>
      <c r="P364">
        <v>15</v>
      </c>
      <c r="Q364">
        <v>16</v>
      </c>
    </row>
    <row r="365" spans="1:17" x14ac:dyDescent="0.3">
      <c r="A365">
        <v>375</v>
      </c>
      <c r="B365" s="4">
        <v>40560</v>
      </c>
      <c r="C365">
        <v>1</v>
      </c>
      <c r="D365">
        <v>0</v>
      </c>
      <c r="E365">
        <v>1</v>
      </c>
      <c r="F365">
        <v>2</v>
      </c>
      <c r="G365" t="b">
        <v>1</v>
      </c>
      <c r="H365">
        <v>1</v>
      </c>
      <c r="I365">
        <v>2</v>
      </c>
      <c r="J365">
        <v>0.18</v>
      </c>
      <c r="K365">
        <v>375</v>
      </c>
      <c r="L365">
        <v>0.16669999999999999</v>
      </c>
      <c r="M365">
        <v>0.43</v>
      </c>
      <c r="N365">
        <v>0.25369999999999998</v>
      </c>
      <c r="O365">
        <v>0</v>
      </c>
      <c r="P365">
        <v>8</v>
      </c>
      <c r="Q365">
        <v>8</v>
      </c>
    </row>
    <row r="366" spans="1:17" x14ac:dyDescent="0.3">
      <c r="A366">
        <v>376</v>
      </c>
      <c r="B366" s="4">
        <v>40560</v>
      </c>
      <c r="C366">
        <v>1</v>
      </c>
      <c r="D366">
        <v>0</v>
      </c>
      <c r="E366">
        <v>1</v>
      </c>
      <c r="F366">
        <v>3</v>
      </c>
      <c r="G366" t="b">
        <v>1</v>
      </c>
      <c r="H366">
        <v>1</v>
      </c>
      <c r="I366">
        <v>2</v>
      </c>
      <c r="J366">
        <v>0.18</v>
      </c>
      <c r="K366">
        <v>376</v>
      </c>
      <c r="L366">
        <v>0.18179999999999999</v>
      </c>
      <c r="M366">
        <v>0.43</v>
      </c>
      <c r="N366">
        <v>0.19400000000000001</v>
      </c>
      <c r="O366">
        <v>0</v>
      </c>
      <c r="P366">
        <v>2</v>
      </c>
      <c r="Q366">
        <v>2</v>
      </c>
    </row>
    <row r="367" spans="1:17" x14ac:dyDescent="0.3">
      <c r="A367">
        <v>377</v>
      </c>
      <c r="B367" s="4">
        <v>40560</v>
      </c>
      <c r="C367">
        <v>1</v>
      </c>
      <c r="D367">
        <v>0</v>
      </c>
      <c r="E367">
        <v>1</v>
      </c>
      <c r="F367">
        <v>4</v>
      </c>
      <c r="G367" t="b">
        <v>1</v>
      </c>
      <c r="H367">
        <v>1</v>
      </c>
      <c r="I367">
        <v>2</v>
      </c>
      <c r="J367">
        <v>0.18</v>
      </c>
      <c r="K367">
        <v>377</v>
      </c>
      <c r="L367">
        <v>0.19700000000000001</v>
      </c>
      <c r="M367">
        <v>0.43</v>
      </c>
      <c r="N367">
        <v>0.1343</v>
      </c>
      <c r="O367">
        <v>1</v>
      </c>
      <c r="P367">
        <v>2</v>
      </c>
      <c r="Q367">
        <v>3</v>
      </c>
    </row>
    <row r="368" spans="1:17" x14ac:dyDescent="0.3">
      <c r="A368">
        <v>378</v>
      </c>
      <c r="B368" s="4">
        <v>40560</v>
      </c>
      <c r="C368">
        <v>1</v>
      </c>
      <c r="D368">
        <v>0</v>
      </c>
      <c r="E368">
        <v>1</v>
      </c>
      <c r="F368">
        <v>5</v>
      </c>
      <c r="G368" t="b">
        <v>1</v>
      </c>
      <c r="H368">
        <v>1</v>
      </c>
      <c r="I368">
        <v>2</v>
      </c>
      <c r="J368">
        <v>0.18</v>
      </c>
      <c r="K368">
        <v>378</v>
      </c>
      <c r="L368">
        <v>0.19700000000000001</v>
      </c>
      <c r="M368">
        <v>0.43</v>
      </c>
      <c r="N368">
        <v>0.16420000000000001</v>
      </c>
      <c r="O368">
        <v>0</v>
      </c>
      <c r="P368">
        <v>1</v>
      </c>
      <c r="Q368">
        <v>1</v>
      </c>
    </row>
    <row r="369" spans="1:17" x14ac:dyDescent="0.3">
      <c r="A369">
        <v>379</v>
      </c>
      <c r="B369" s="4">
        <v>40560</v>
      </c>
      <c r="C369">
        <v>1</v>
      </c>
      <c r="D369">
        <v>0</v>
      </c>
      <c r="E369">
        <v>1</v>
      </c>
      <c r="F369">
        <v>6</v>
      </c>
      <c r="G369" t="b">
        <v>1</v>
      </c>
      <c r="H369">
        <v>1</v>
      </c>
      <c r="I369">
        <v>2</v>
      </c>
      <c r="J369">
        <v>0.18</v>
      </c>
      <c r="K369">
        <v>379</v>
      </c>
      <c r="L369">
        <v>0.18179999999999999</v>
      </c>
      <c r="M369">
        <v>0.43</v>
      </c>
      <c r="N369">
        <v>0.19400000000000001</v>
      </c>
      <c r="O369">
        <v>0</v>
      </c>
      <c r="P369">
        <v>5</v>
      </c>
      <c r="Q369">
        <v>5</v>
      </c>
    </row>
    <row r="370" spans="1:17" x14ac:dyDescent="0.3">
      <c r="A370">
        <v>380</v>
      </c>
      <c r="B370" s="4">
        <v>40560</v>
      </c>
      <c r="C370">
        <v>1</v>
      </c>
      <c r="D370">
        <v>0</v>
      </c>
      <c r="E370">
        <v>1</v>
      </c>
      <c r="F370">
        <v>7</v>
      </c>
      <c r="G370" t="b">
        <v>1</v>
      </c>
      <c r="H370">
        <v>1</v>
      </c>
      <c r="I370">
        <v>2</v>
      </c>
      <c r="J370">
        <v>0.16</v>
      </c>
      <c r="K370">
        <v>380</v>
      </c>
      <c r="L370">
        <v>0.18179999999999999</v>
      </c>
      <c r="M370">
        <v>0.5</v>
      </c>
      <c r="N370">
        <v>0.1343</v>
      </c>
      <c r="O370">
        <v>4</v>
      </c>
      <c r="P370">
        <v>9</v>
      </c>
      <c r="Q370">
        <v>13</v>
      </c>
    </row>
    <row r="371" spans="1:17" x14ac:dyDescent="0.3">
      <c r="A371">
        <v>381</v>
      </c>
      <c r="B371" s="4">
        <v>40560</v>
      </c>
      <c r="C371">
        <v>1</v>
      </c>
      <c r="D371">
        <v>0</v>
      </c>
      <c r="E371">
        <v>1</v>
      </c>
      <c r="F371">
        <v>8</v>
      </c>
      <c r="G371" t="b">
        <v>1</v>
      </c>
      <c r="H371">
        <v>1</v>
      </c>
      <c r="I371">
        <v>2</v>
      </c>
      <c r="J371">
        <v>0.16</v>
      </c>
      <c r="K371">
        <v>381</v>
      </c>
      <c r="L371">
        <v>0.1515</v>
      </c>
      <c r="M371">
        <v>0.47</v>
      </c>
      <c r="N371">
        <v>0.22389999999999999</v>
      </c>
      <c r="O371">
        <v>3</v>
      </c>
      <c r="P371">
        <v>30</v>
      </c>
      <c r="Q371">
        <v>33</v>
      </c>
    </row>
    <row r="372" spans="1:17" x14ac:dyDescent="0.3">
      <c r="A372">
        <v>382</v>
      </c>
      <c r="B372" s="4">
        <v>40560</v>
      </c>
      <c r="C372">
        <v>1</v>
      </c>
      <c r="D372">
        <v>0</v>
      </c>
      <c r="E372">
        <v>1</v>
      </c>
      <c r="F372">
        <v>9</v>
      </c>
      <c r="G372" t="b">
        <v>1</v>
      </c>
      <c r="H372">
        <v>1</v>
      </c>
      <c r="I372">
        <v>2</v>
      </c>
      <c r="J372">
        <v>0.16</v>
      </c>
      <c r="K372">
        <v>382</v>
      </c>
      <c r="L372">
        <v>0.1515</v>
      </c>
      <c r="M372">
        <v>0.47</v>
      </c>
      <c r="N372">
        <v>0.22389999999999999</v>
      </c>
      <c r="O372">
        <v>8</v>
      </c>
      <c r="P372">
        <v>39</v>
      </c>
      <c r="Q372">
        <v>47</v>
      </c>
    </row>
    <row r="373" spans="1:17" x14ac:dyDescent="0.3">
      <c r="A373">
        <v>383</v>
      </c>
      <c r="B373" s="4">
        <v>40560</v>
      </c>
      <c r="C373">
        <v>1</v>
      </c>
      <c r="D373">
        <v>0</v>
      </c>
      <c r="E373">
        <v>1</v>
      </c>
      <c r="F373">
        <v>10</v>
      </c>
      <c r="G373" t="b">
        <v>1</v>
      </c>
      <c r="H373">
        <v>1</v>
      </c>
      <c r="I373">
        <v>2</v>
      </c>
      <c r="J373">
        <v>0.16</v>
      </c>
      <c r="K373">
        <v>383</v>
      </c>
      <c r="L373">
        <v>0.1515</v>
      </c>
      <c r="M373">
        <v>0.5</v>
      </c>
      <c r="N373">
        <v>0.25369999999999998</v>
      </c>
      <c r="O373">
        <v>7</v>
      </c>
      <c r="P373">
        <v>50</v>
      </c>
      <c r="Q373">
        <v>57</v>
      </c>
    </row>
    <row r="374" spans="1:17" x14ac:dyDescent="0.3">
      <c r="A374">
        <v>384</v>
      </c>
      <c r="B374" s="4">
        <v>40560</v>
      </c>
      <c r="C374">
        <v>1</v>
      </c>
      <c r="D374">
        <v>0</v>
      </c>
      <c r="E374">
        <v>1</v>
      </c>
      <c r="F374">
        <v>11</v>
      </c>
      <c r="G374" t="b">
        <v>1</v>
      </c>
      <c r="H374">
        <v>1</v>
      </c>
      <c r="I374">
        <v>2</v>
      </c>
      <c r="J374">
        <v>0.16</v>
      </c>
      <c r="K374">
        <v>384</v>
      </c>
      <c r="L374">
        <v>0.1515</v>
      </c>
      <c r="M374">
        <v>0.55000000000000004</v>
      </c>
      <c r="N374">
        <v>0.19400000000000001</v>
      </c>
      <c r="O374">
        <v>9</v>
      </c>
      <c r="P374">
        <v>55</v>
      </c>
      <c r="Q374">
        <v>64</v>
      </c>
    </row>
    <row r="375" spans="1:17" x14ac:dyDescent="0.3">
      <c r="A375">
        <v>385</v>
      </c>
      <c r="B375" s="4">
        <v>40560</v>
      </c>
      <c r="C375">
        <v>1</v>
      </c>
      <c r="D375">
        <v>0</v>
      </c>
      <c r="E375">
        <v>1</v>
      </c>
      <c r="F375">
        <v>12</v>
      </c>
      <c r="G375" t="b">
        <v>1</v>
      </c>
      <c r="H375">
        <v>1</v>
      </c>
      <c r="I375">
        <v>2</v>
      </c>
      <c r="J375">
        <v>0.18</v>
      </c>
      <c r="K375">
        <v>385</v>
      </c>
      <c r="L375">
        <v>0.19700000000000001</v>
      </c>
      <c r="M375">
        <v>0.47</v>
      </c>
      <c r="N375">
        <v>0.1343</v>
      </c>
      <c r="O375">
        <v>10</v>
      </c>
      <c r="P375">
        <v>70</v>
      </c>
      <c r="Q375">
        <v>80</v>
      </c>
    </row>
    <row r="376" spans="1:17" x14ac:dyDescent="0.3">
      <c r="A376">
        <v>386</v>
      </c>
      <c r="B376" s="4">
        <v>40560</v>
      </c>
      <c r="C376">
        <v>1</v>
      </c>
      <c r="D376">
        <v>0</v>
      </c>
      <c r="E376">
        <v>1</v>
      </c>
      <c r="F376">
        <v>13</v>
      </c>
      <c r="G376" t="b">
        <v>1</v>
      </c>
      <c r="H376">
        <v>1</v>
      </c>
      <c r="I376">
        <v>2</v>
      </c>
      <c r="J376">
        <v>0.18</v>
      </c>
      <c r="K376">
        <v>386</v>
      </c>
      <c r="L376">
        <v>0.19700000000000001</v>
      </c>
      <c r="M376">
        <v>0.47</v>
      </c>
      <c r="N376">
        <v>0.1343</v>
      </c>
      <c r="O376">
        <v>13</v>
      </c>
      <c r="P376">
        <v>80</v>
      </c>
      <c r="Q376">
        <v>93</v>
      </c>
    </row>
    <row r="377" spans="1:17" x14ac:dyDescent="0.3">
      <c r="A377">
        <v>387</v>
      </c>
      <c r="B377" s="4">
        <v>40560</v>
      </c>
      <c r="C377">
        <v>1</v>
      </c>
      <c r="D377">
        <v>0</v>
      </c>
      <c r="E377">
        <v>1</v>
      </c>
      <c r="F377">
        <v>14</v>
      </c>
      <c r="G377" t="b">
        <v>1</v>
      </c>
      <c r="H377">
        <v>1</v>
      </c>
      <c r="I377">
        <v>2</v>
      </c>
      <c r="J377">
        <v>0.18</v>
      </c>
      <c r="K377">
        <v>387</v>
      </c>
      <c r="L377">
        <v>0.21210000000000001</v>
      </c>
      <c r="M377">
        <v>0.43</v>
      </c>
      <c r="N377">
        <v>0.1045</v>
      </c>
      <c r="O377">
        <v>12</v>
      </c>
      <c r="P377">
        <v>74</v>
      </c>
      <c r="Q377">
        <v>86</v>
      </c>
    </row>
    <row r="378" spans="1:17" x14ac:dyDescent="0.3">
      <c r="A378">
        <v>388</v>
      </c>
      <c r="B378" s="4">
        <v>40560</v>
      </c>
      <c r="C378">
        <v>1</v>
      </c>
      <c r="D378">
        <v>0</v>
      </c>
      <c r="E378">
        <v>1</v>
      </c>
      <c r="F378">
        <v>15</v>
      </c>
      <c r="G378" t="b">
        <v>1</v>
      </c>
      <c r="H378">
        <v>1</v>
      </c>
      <c r="I378">
        <v>2</v>
      </c>
      <c r="J378">
        <v>0.2</v>
      </c>
      <c r="K378">
        <v>388</v>
      </c>
      <c r="L378">
        <v>0.21210000000000001</v>
      </c>
      <c r="M378">
        <v>0.47</v>
      </c>
      <c r="N378">
        <v>0.16420000000000001</v>
      </c>
      <c r="O378">
        <v>21</v>
      </c>
      <c r="P378">
        <v>72</v>
      </c>
      <c r="Q378">
        <v>93</v>
      </c>
    </row>
    <row r="379" spans="1:17" x14ac:dyDescent="0.3">
      <c r="A379">
        <v>389</v>
      </c>
      <c r="B379" s="4">
        <v>40560</v>
      </c>
      <c r="C379">
        <v>1</v>
      </c>
      <c r="D379">
        <v>0</v>
      </c>
      <c r="E379">
        <v>1</v>
      </c>
      <c r="F379">
        <v>16</v>
      </c>
      <c r="G379" t="b">
        <v>1</v>
      </c>
      <c r="H379">
        <v>1</v>
      </c>
      <c r="I379">
        <v>2</v>
      </c>
      <c r="J379">
        <v>0.2</v>
      </c>
      <c r="K379">
        <v>389</v>
      </c>
      <c r="L379">
        <v>0.21210000000000001</v>
      </c>
      <c r="M379">
        <v>0.47</v>
      </c>
      <c r="N379">
        <v>0.16420000000000001</v>
      </c>
      <c r="O379">
        <v>6</v>
      </c>
      <c r="P379">
        <v>76</v>
      </c>
      <c r="Q379">
        <v>82</v>
      </c>
    </row>
    <row r="380" spans="1:17" x14ac:dyDescent="0.3">
      <c r="A380">
        <v>390</v>
      </c>
      <c r="B380" s="4">
        <v>40560</v>
      </c>
      <c r="C380">
        <v>1</v>
      </c>
      <c r="D380">
        <v>0</v>
      </c>
      <c r="E380">
        <v>1</v>
      </c>
      <c r="F380">
        <v>17</v>
      </c>
      <c r="G380" t="b">
        <v>1</v>
      </c>
      <c r="H380">
        <v>1</v>
      </c>
      <c r="I380">
        <v>1</v>
      </c>
      <c r="J380">
        <v>0.2</v>
      </c>
      <c r="K380">
        <v>390</v>
      </c>
      <c r="L380">
        <v>0.19700000000000001</v>
      </c>
      <c r="M380">
        <v>0.51</v>
      </c>
      <c r="N380">
        <v>0.19400000000000001</v>
      </c>
      <c r="O380">
        <v>4</v>
      </c>
      <c r="P380">
        <v>67</v>
      </c>
      <c r="Q380">
        <v>71</v>
      </c>
    </row>
    <row r="381" spans="1:17" x14ac:dyDescent="0.3">
      <c r="A381">
        <v>391</v>
      </c>
      <c r="B381" s="4">
        <v>40560</v>
      </c>
      <c r="C381">
        <v>1</v>
      </c>
      <c r="D381">
        <v>0</v>
      </c>
      <c r="E381">
        <v>1</v>
      </c>
      <c r="F381">
        <v>18</v>
      </c>
      <c r="G381" t="b">
        <v>1</v>
      </c>
      <c r="H381">
        <v>1</v>
      </c>
      <c r="I381">
        <v>2</v>
      </c>
      <c r="J381">
        <v>0.18</v>
      </c>
      <c r="K381">
        <v>391</v>
      </c>
      <c r="L381">
        <v>0.16669999999999999</v>
      </c>
      <c r="M381">
        <v>0.55000000000000004</v>
      </c>
      <c r="N381">
        <v>0.25369999999999998</v>
      </c>
      <c r="O381">
        <v>7</v>
      </c>
      <c r="P381">
        <v>85</v>
      </c>
      <c r="Q381">
        <v>92</v>
      </c>
    </row>
    <row r="382" spans="1:17" x14ac:dyDescent="0.3">
      <c r="A382">
        <v>392</v>
      </c>
      <c r="B382" s="4">
        <v>40560</v>
      </c>
      <c r="C382">
        <v>1</v>
      </c>
      <c r="D382">
        <v>0</v>
      </c>
      <c r="E382">
        <v>1</v>
      </c>
      <c r="F382">
        <v>19</v>
      </c>
      <c r="G382" t="b">
        <v>1</v>
      </c>
      <c r="H382">
        <v>1</v>
      </c>
      <c r="I382">
        <v>3</v>
      </c>
      <c r="J382">
        <v>0.18</v>
      </c>
      <c r="K382">
        <v>392</v>
      </c>
      <c r="L382">
        <v>0.18179999999999999</v>
      </c>
      <c r="M382">
        <v>0.59</v>
      </c>
      <c r="N382">
        <v>0.19400000000000001</v>
      </c>
      <c r="O382">
        <v>2</v>
      </c>
      <c r="P382">
        <v>58</v>
      </c>
      <c r="Q382">
        <v>60</v>
      </c>
    </row>
    <row r="383" spans="1:17" x14ac:dyDescent="0.3">
      <c r="A383">
        <v>393</v>
      </c>
      <c r="B383" s="4">
        <v>40560</v>
      </c>
      <c r="C383">
        <v>1</v>
      </c>
      <c r="D383">
        <v>0</v>
      </c>
      <c r="E383">
        <v>1</v>
      </c>
      <c r="F383">
        <v>20</v>
      </c>
      <c r="G383" t="b">
        <v>1</v>
      </c>
      <c r="H383">
        <v>1</v>
      </c>
      <c r="I383">
        <v>3</v>
      </c>
      <c r="J383">
        <v>0.16</v>
      </c>
      <c r="K383">
        <v>393</v>
      </c>
      <c r="L383">
        <v>0.1515</v>
      </c>
      <c r="M383">
        <v>0.8</v>
      </c>
      <c r="N383">
        <v>0.19400000000000001</v>
      </c>
      <c r="O383">
        <v>4</v>
      </c>
      <c r="P383">
        <v>29</v>
      </c>
      <c r="Q383">
        <v>33</v>
      </c>
    </row>
    <row r="384" spans="1:17" x14ac:dyDescent="0.3">
      <c r="A384">
        <v>394</v>
      </c>
      <c r="B384" s="4">
        <v>40560</v>
      </c>
      <c r="C384">
        <v>1</v>
      </c>
      <c r="D384">
        <v>0</v>
      </c>
      <c r="E384">
        <v>1</v>
      </c>
      <c r="F384">
        <v>21</v>
      </c>
      <c r="G384" t="b">
        <v>1</v>
      </c>
      <c r="H384">
        <v>1</v>
      </c>
      <c r="I384">
        <v>3</v>
      </c>
      <c r="J384">
        <v>0.16</v>
      </c>
      <c r="K384">
        <v>394</v>
      </c>
      <c r="L384">
        <v>0.1515</v>
      </c>
      <c r="M384">
        <v>0.8</v>
      </c>
      <c r="N384">
        <v>0.19400000000000001</v>
      </c>
      <c r="O384">
        <v>3</v>
      </c>
      <c r="P384">
        <v>24</v>
      </c>
      <c r="Q384">
        <v>27</v>
      </c>
    </row>
    <row r="385" spans="1:17" x14ac:dyDescent="0.3">
      <c r="A385">
        <v>395</v>
      </c>
      <c r="B385" s="4">
        <v>40560</v>
      </c>
      <c r="C385">
        <v>1</v>
      </c>
      <c r="D385">
        <v>0</v>
      </c>
      <c r="E385">
        <v>1</v>
      </c>
      <c r="F385">
        <v>22</v>
      </c>
      <c r="G385" t="b">
        <v>1</v>
      </c>
      <c r="H385">
        <v>1</v>
      </c>
      <c r="I385">
        <v>3</v>
      </c>
      <c r="J385">
        <v>0.14000000000000001</v>
      </c>
      <c r="K385">
        <v>395</v>
      </c>
      <c r="L385">
        <v>0.1212</v>
      </c>
      <c r="M385">
        <v>0.93</v>
      </c>
      <c r="N385">
        <v>0.25369999999999998</v>
      </c>
      <c r="O385">
        <v>0</v>
      </c>
      <c r="P385">
        <v>13</v>
      </c>
      <c r="Q385">
        <v>13</v>
      </c>
    </row>
    <row r="386" spans="1:17" x14ac:dyDescent="0.3">
      <c r="A386">
        <v>396</v>
      </c>
      <c r="B386" s="4">
        <v>40560</v>
      </c>
      <c r="C386">
        <v>1</v>
      </c>
      <c r="D386">
        <v>0</v>
      </c>
      <c r="E386">
        <v>1</v>
      </c>
      <c r="F386">
        <v>23</v>
      </c>
      <c r="G386" t="b">
        <v>1</v>
      </c>
      <c r="H386">
        <v>1</v>
      </c>
      <c r="I386">
        <v>3</v>
      </c>
      <c r="J386">
        <v>0.16</v>
      </c>
      <c r="K386">
        <v>396</v>
      </c>
      <c r="L386">
        <v>0.13639999999999999</v>
      </c>
      <c r="M386">
        <v>0.86</v>
      </c>
      <c r="N386">
        <v>0.28360000000000002</v>
      </c>
      <c r="O386">
        <v>1</v>
      </c>
      <c r="P386">
        <v>3</v>
      </c>
      <c r="Q386">
        <v>4</v>
      </c>
    </row>
    <row r="387" spans="1:17" x14ac:dyDescent="0.3">
      <c r="A387">
        <v>397</v>
      </c>
      <c r="B387" s="4">
        <v>40561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2</v>
      </c>
      <c r="J387">
        <v>0.2</v>
      </c>
      <c r="K387">
        <v>397</v>
      </c>
      <c r="L387">
        <v>0.18179999999999999</v>
      </c>
      <c r="M387">
        <v>0.86</v>
      </c>
      <c r="N387">
        <v>0.32840000000000003</v>
      </c>
      <c r="O387">
        <v>0</v>
      </c>
      <c r="P387">
        <v>3</v>
      </c>
      <c r="Q387">
        <v>3</v>
      </c>
    </row>
    <row r="388" spans="1:17" x14ac:dyDescent="0.3">
      <c r="A388">
        <v>398</v>
      </c>
      <c r="B388" s="4">
        <v>40561</v>
      </c>
      <c r="C388">
        <v>1</v>
      </c>
      <c r="D388">
        <v>0</v>
      </c>
      <c r="E388">
        <v>1</v>
      </c>
      <c r="F388">
        <v>13</v>
      </c>
      <c r="G388" t="b">
        <v>0</v>
      </c>
      <c r="H388">
        <v>2</v>
      </c>
      <c r="I388">
        <v>2</v>
      </c>
      <c r="J388">
        <v>0.2</v>
      </c>
      <c r="K388">
        <v>398</v>
      </c>
      <c r="L388">
        <v>0.19700000000000001</v>
      </c>
      <c r="M388">
        <v>0.86</v>
      </c>
      <c r="N388">
        <v>0.22389999999999999</v>
      </c>
      <c r="O388">
        <v>0</v>
      </c>
      <c r="P388">
        <v>22</v>
      </c>
      <c r="Q388">
        <v>22</v>
      </c>
    </row>
    <row r="389" spans="1:17" x14ac:dyDescent="0.3">
      <c r="A389">
        <v>399</v>
      </c>
      <c r="B389" s="4">
        <v>40561</v>
      </c>
      <c r="C389">
        <v>1</v>
      </c>
      <c r="D389">
        <v>0</v>
      </c>
      <c r="E389">
        <v>1</v>
      </c>
      <c r="F389">
        <v>14</v>
      </c>
      <c r="G389" t="b">
        <v>0</v>
      </c>
      <c r="H389">
        <v>2</v>
      </c>
      <c r="I389">
        <v>2</v>
      </c>
      <c r="J389">
        <v>0.22</v>
      </c>
      <c r="K389">
        <v>399</v>
      </c>
      <c r="L389">
        <v>0.2273</v>
      </c>
      <c r="M389">
        <v>0.8</v>
      </c>
      <c r="N389">
        <v>0.16420000000000001</v>
      </c>
      <c r="O389">
        <v>2</v>
      </c>
      <c r="P389">
        <v>26</v>
      </c>
      <c r="Q389">
        <v>28</v>
      </c>
    </row>
    <row r="390" spans="1:17" x14ac:dyDescent="0.3">
      <c r="A390">
        <v>400</v>
      </c>
      <c r="B390" s="4">
        <v>40561</v>
      </c>
      <c r="C390">
        <v>1</v>
      </c>
      <c r="D390">
        <v>0</v>
      </c>
      <c r="E390">
        <v>1</v>
      </c>
      <c r="F390">
        <v>15</v>
      </c>
      <c r="G390" t="b">
        <v>0</v>
      </c>
      <c r="H390">
        <v>2</v>
      </c>
      <c r="I390">
        <v>2</v>
      </c>
      <c r="J390">
        <v>0.22</v>
      </c>
      <c r="K390">
        <v>400</v>
      </c>
      <c r="L390">
        <v>0.2273</v>
      </c>
      <c r="M390">
        <v>0.87</v>
      </c>
      <c r="N390">
        <v>0.16420000000000001</v>
      </c>
      <c r="O390">
        <v>3</v>
      </c>
      <c r="P390">
        <v>32</v>
      </c>
      <c r="Q390">
        <v>35</v>
      </c>
    </row>
    <row r="391" spans="1:17" x14ac:dyDescent="0.3">
      <c r="A391">
        <v>401</v>
      </c>
      <c r="B391" s="4">
        <v>40561</v>
      </c>
      <c r="C391">
        <v>1</v>
      </c>
      <c r="D391">
        <v>0</v>
      </c>
      <c r="E391">
        <v>1</v>
      </c>
      <c r="F391">
        <v>16</v>
      </c>
      <c r="G391" t="b">
        <v>0</v>
      </c>
      <c r="H391">
        <v>2</v>
      </c>
      <c r="I391">
        <v>2</v>
      </c>
      <c r="J391">
        <v>0.22</v>
      </c>
      <c r="K391">
        <v>401</v>
      </c>
      <c r="L391">
        <v>0.2273</v>
      </c>
      <c r="M391">
        <v>0.87</v>
      </c>
      <c r="N391">
        <v>0.19400000000000001</v>
      </c>
      <c r="O391">
        <v>0</v>
      </c>
      <c r="P391">
        <v>61</v>
      </c>
      <c r="Q391">
        <v>61</v>
      </c>
    </row>
    <row r="392" spans="1:17" x14ac:dyDescent="0.3">
      <c r="A392">
        <v>402</v>
      </c>
      <c r="B392" s="4">
        <v>40561</v>
      </c>
      <c r="C392">
        <v>1</v>
      </c>
      <c r="D392">
        <v>0</v>
      </c>
      <c r="E392">
        <v>1</v>
      </c>
      <c r="F392">
        <v>17</v>
      </c>
      <c r="G392" t="b">
        <v>0</v>
      </c>
      <c r="H392">
        <v>2</v>
      </c>
      <c r="I392">
        <v>2</v>
      </c>
      <c r="J392">
        <v>0.22</v>
      </c>
      <c r="K392">
        <v>402</v>
      </c>
      <c r="L392">
        <v>0.2273</v>
      </c>
      <c r="M392">
        <v>0.82</v>
      </c>
      <c r="N392">
        <v>0.19400000000000001</v>
      </c>
      <c r="O392">
        <v>1</v>
      </c>
      <c r="P392">
        <v>124</v>
      </c>
      <c r="Q392">
        <v>125</v>
      </c>
    </row>
    <row r="393" spans="1:17" x14ac:dyDescent="0.3">
      <c r="A393">
        <v>403</v>
      </c>
      <c r="B393" s="4">
        <v>40561</v>
      </c>
      <c r="C393">
        <v>1</v>
      </c>
      <c r="D393">
        <v>0</v>
      </c>
      <c r="E393">
        <v>1</v>
      </c>
      <c r="F393">
        <v>18</v>
      </c>
      <c r="G393" t="b">
        <v>0</v>
      </c>
      <c r="H393">
        <v>2</v>
      </c>
      <c r="I393">
        <v>2</v>
      </c>
      <c r="J393">
        <v>0.22</v>
      </c>
      <c r="K393">
        <v>403</v>
      </c>
      <c r="L393">
        <v>0.2273</v>
      </c>
      <c r="M393">
        <v>0.8</v>
      </c>
      <c r="N393">
        <v>0.16420000000000001</v>
      </c>
      <c r="O393">
        <v>1</v>
      </c>
      <c r="P393">
        <v>132</v>
      </c>
      <c r="Q393">
        <v>133</v>
      </c>
    </row>
    <row r="394" spans="1:17" x14ac:dyDescent="0.3">
      <c r="A394">
        <v>404</v>
      </c>
      <c r="B394" s="4">
        <v>40561</v>
      </c>
      <c r="C394">
        <v>1</v>
      </c>
      <c r="D394">
        <v>0</v>
      </c>
      <c r="E394">
        <v>1</v>
      </c>
      <c r="F394">
        <v>19</v>
      </c>
      <c r="G394" t="b">
        <v>0</v>
      </c>
      <c r="H394">
        <v>2</v>
      </c>
      <c r="I394">
        <v>2</v>
      </c>
      <c r="J394">
        <v>0.22</v>
      </c>
      <c r="K394">
        <v>404</v>
      </c>
      <c r="L394">
        <v>0.2273</v>
      </c>
      <c r="M394">
        <v>0.8</v>
      </c>
      <c r="N394">
        <v>0.1343</v>
      </c>
      <c r="O394">
        <v>1</v>
      </c>
      <c r="P394">
        <v>98</v>
      </c>
      <c r="Q394">
        <v>99</v>
      </c>
    </row>
    <row r="395" spans="1:17" x14ac:dyDescent="0.3">
      <c r="A395">
        <v>405</v>
      </c>
      <c r="B395" s="4">
        <v>40561</v>
      </c>
      <c r="C395">
        <v>1</v>
      </c>
      <c r="D395">
        <v>0</v>
      </c>
      <c r="E395">
        <v>1</v>
      </c>
      <c r="F395">
        <v>20</v>
      </c>
      <c r="G395" t="b">
        <v>0</v>
      </c>
      <c r="H395">
        <v>2</v>
      </c>
      <c r="I395">
        <v>2</v>
      </c>
      <c r="J395">
        <v>0.22</v>
      </c>
      <c r="K395">
        <v>405</v>
      </c>
      <c r="L395">
        <v>0.2727</v>
      </c>
      <c r="M395">
        <v>0.87</v>
      </c>
      <c r="N395">
        <v>0</v>
      </c>
      <c r="O395">
        <v>0</v>
      </c>
      <c r="P395">
        <v>83</v>
      </c>
      <c r="Q395">
        <v>83</v>
      </c>
    </row>
    <row r="396" spans="1:17" x14ac:dyDescent="0.3">
      <c r="A396">
        <v>406</v>
      </c>
      <c r="B396" s="4">
        <v>40561</v>
      </c>
      <c r="C396">
        <v>1</v>
      </c>
      <c r="D396">
        <v>0</v>
      </c>
      <c r="E396">
        <v>1</v>
      </c>
      <c r="F396">
        <v>21</v>
      </c>
      <c r="G396" t="b">
        <v>0</v>
      </c>
      <c r="H396">
        <v>2</v>
      </c>
      <c r="I396">
        <v>2</v>
      </c>
      <c r="J396">
        <v>0.22</v>
      </c>
      <c r="K396">
        <v>406</v>
      </c>
      <c r="L396">
        <v>0.2424</v>
      </c>
      <c r="M396">
        <v>0.93</v>
      </c>
      <c r="N396">
        <v>0.1045</v>
      </c>
      <c r="O396">
        <v>0</v>
      </c>
      <c r="P396">
        <v>41</v>
      </c>
      <c r="Q396">
        <v>41</v>
      </c>
    </row>
    <row r="397" spans="1:17" x14ac:dyDescent="0.3">
      <c r="A397">
        <v>407</v>
      </c>
      <c r="B397" s="4">
        <v>40561</v>
      </c>
      <c r="C397">
        <v>1</v>
      </c>
      <c r="D397">
        <v>0</v>
      </c>
      <c r="E397">
        <v>1</v>
      </c>
      <c r="F397">
        <v>22</v>
      </c>
      <c r="G397" t="b">
        <v>0</v>
      </c>
      <c r="H397">
        <v>2</v>
      </c>
      <c r="I397">
        <v>2</v>
      </c>
      <c r="J397">
        <v>0.22</v>
      </c>
      <c r="K397">
        <v>407</v>
      </c>
      <c r="L397">
        <v>0.2576</v>
      </c>
      <c r="M397">
        <v>0.93</v>
      </c>
      <c r="N397">
        <v>8.9599999999999999E-2</v>
      </c>
      <c r="O397">
        <v>0</v>
      </c>
      <c r="P397">
        <v>33</v>
      </c>
      <c r="Q397">
        <v>33</v>
      </c>
    </row>
    <row r="398" spans="1:17" x14ac:dyDescent="0.3">
      <c r="A398">
        <v>408</v>
      </c>
      <c r="B398" s="4">
        <v>40561</v>
      </c>
      <c r="C398">
        <v>1</v>
      </c>
      <c r="D398">
        <v>0</v>
      </c>
      <c r="E398">
        <v>1</v>
      </c>
      <c r="F398">
        <v>23</v>
      </c>
      <c r="G398" t="b">
        <v>0</v>
      </c>
      <c r="H398">
        <v>2</v>
      </c>
      <c r="I398">
        <v>2</v>
      </c>
      <c r="J398">
        <v>0.22</v>
      </c>
      <c r="K398">
        <v>408</v>
      </c>
      <c r="L398">
        <v>0.2727</v>
      </c>
      <c r="M398">
        <v>0.93</v>
      </c>
      <c r="N398">
        <v>0</v>
      </c>
      <c r="O398">
        <v>1</v>
      </c>
      <c r="P398">
        <v>19</v>
      </c>
      <c r="Q398">
        <v>20</v>
      </c>
    </row>
    <row r="399" spans="1:17" x14ac:dyDescent="0.3">
      <c r="A399">
        <v>409</v>
      </c>
      <c r="B399" s="4">
        <v>40562</v>
      </c>
      <c r="C399">
        <v>1</v>
      </c>
      <c r="D399">
        <v>0</v>
      </c>
      <c r="E399">
        <v>1</v>
      </c>
      <c r="F399">
        <v>0</v>
      </c>
      <c r="G399" t="b">
        <v>0</v>
      </c>
      <c r="H399">
        <v>3</v>
      </c>
      <c r="I399">
        <v>2</v>
      </c>
      <c r="J399">
        <v>0.22</v>
      </c>
      <c r="K399">
        <v>409</v>
      </c>
      <c r="L399">
        <v>0.2727</v>
      </c>
      <c r="M399">
        <v>0.93</v>
      </c>
      <c r="N399">
        <v>0</v>
      </c>
      <c r="O399">
        <v>0</v>
      </c>
      <c r="P399">
        <v>3</v>
      </c>
      <c r="Q399">
        <v>3</v>
      </c>
    </row>
    <row r="400" spans="1:17" x14ac:dyDescent="0.3">
      <c r="A400">
        <v>410</v>
      </c>
      <c r="B400" s="4">
        <v>40562</v>
      </c>
      <c r="C400">
        <v>1</v>
      </c>
      <c r="D400">
        <v>0</v>
      </c>
      <c r="E400">
        <v>1</v>
      </c>
      <c r="F400">
        <v>1</v>
      </c>
      <c r="G400" t="b">
        <v>0</v>
      </c>
      <c r="H400">
        <v>3</v>
      </c>
      <c r="I400">
        <v>3</v>
      </c>
      <c r="J400">
        <v>0.22</v>
      </c>
      <c r="K400">
        <v>410</v>
      </c>
      <c r="L400">
        <v>0.2273</v>
      </c>
      <c r="M400">
        <v>0.93</v>
      </c>
      <c r="N400">
        <v>0.1343</v>
      </c>
      <c r="O400">
        <v>1</v>
      </c>
      <c r="P400">
        <v>6</v>
      </c>
      <c r="Q400">
        <v>7</v>
      </c>
    </row>
    <row r="401" spans="1:17" x14ac:dyDescent="0.3">
      <c r="A401">
        <v>411</v>
      </c>
      <c r="B401" s="4">
        <v>40562</v>
      </c>
      <c r="C401">
        <v>1</v>
      </c>
      <c r="D401">
        <v>0</v>
      </c>
      <c r="E401">
        <v>1</v>
      </c>
      <c r="F401">
        <v>2</v>
      </c>
      <c r="G401" t="b">
        <v>0</v>
      </c>
      <c r="H401">
        <v>3</v>
      </c>
      <c r="I401">
        <v>3</v>
      </c>
      <c r="J401">
        <v>0.22</v>
      </c>
      <c r="K401">
        <v>411</v>
      </c>
      <c r="L401">
        <v>0.2273</v>
      </c>
      <c r="M401">
        <v>0.93</v>
      </c>
      <c r="N401">
        <v>0.1343</v>
      </c>
      <c r="O401">
        <v>0</v>
      </c>
      <c r="P401">
        <v>3</v>
      </c>
      <c r="Q401">
        <v>3</v>
      </c>
    </row>
    <row r="402" spans="1:17" x14ac:dyDescent="0.3">
      <c r="A402">
        <v>412</v>
      </c>
      <c r="B402" s="4">
        <v>40562</v>
      </c>
      <c r="C402">
        <v>1</v>
      </c>
      <c r="D402">
        <v>0</v>
      </c>
      <c r="E402">
        <v>1</v>
      </c>
      <c r="F402">
        <v>4</v>
      </c>
      <c r="G402" t="b">
        <v>0</v>
      </c>
      <c r="H402">
        <v>3</v>
      </c>
      <c r="I402">
        <v>3</v>
      </c>
      <c r="J402">
        <v>0.22</v>
      </c>
      <c r="K402">
        <v>412</v>
      </c>
      <c r="L402">
        <v>0.2273</v>
      </c>
      <c r="M402">
        <v>0.93</v>
      </c>
      <c r="N402">
        <v>0.1343</v>
      </c>
      <c r="O402">
        <v>1</v>
      </c>
      <c r="P402">
        <v>1</v>
      </c>
      <c r="Q402">
        <v>2</v>
      </c>
    </row>
    <row r="403" spans="1:17" x14ac:dyDescent="0.3">
      <c r="A403">
        <v>413</v>
      </c>
      <c r="B403" s="4">
        <v>40562</v>
      </c>
      <c r="C403">
        <v>1</v>
      </c>
      <c r="D403">
        <v>0</v>
      </c>
      <c r="E403">
        <v>1</v>
      </c>
      <c r="F403">
        <v>5</v>
      </c>
      <c r="G403" t="b">
        <v>0</v>
      </c>
      <c r="H403">
        <v>3</v>
      </c>
      <c r="I403">
        <v>2</v>
      </c>
      <c r="J403">
        <v>0.22</v>
      </c>
      <c r="K403">
        <v>413</v>
      </c>
      <c r="L403">
        <v>0.2576</v>
      </c>
      <c r="M403">
        <v>0.93</v>
      </c>
      <c r="N403">
        <v>8.9599999999999999E-2</v>
      </c>
      <c r="O403">
        <v>0</v>
      </c>
      <c r="P403">
        <v>7</v>
      </c>
      <c r="Q403">
        <v>7</v>
      </c>
    </row>
    <row r="404" spans="1:17" x14ac:dyDescent="0.3">
      <c r="A404">
        <v>414</v>
      </c>
      <c r="B404" s="4">
        <v>40562</v>
      </c>
      <c r="C404">
        <v>1</v>
      </c>
      <c r="D404">
        <v>0</v>
      </c>
      <c r="E404">
        <v>1</v>
      </c>
      <c r="F404">
        <v>6</v>
      </c>
      <c r="G404" t="b">
        <v>0</v>
      </c>
      <c r="H404">
        <v>3</v>
      </c>
      <c r="I404">
        <v>2</v>
      </c>
      <c r="J404">
        <v>0.22</v>
      </c>
      <c r="K404">
        <v>414</v>
      </c>
      <c r="L404">
        <v>0.2576</v>
      </c>
      <c r="M404">
        <v>0.93</v>
      </c>
      <c r="N404">
        <v>8.9599999999999999E-2</v>
      </c>
      <c r="O404">
        <v>0</v>
      </c>
      <c r="P404">
        <v>32</v>
      </c>
      <c r="Q404">
        <v>32</v>
      </c>
    </row>
    <row r="405" spans="1:17" x14ac:dyDescent="0.3">
      <c r="A405">
        <v>415</v>
      </c>
      <c r="B405" s="4">
        <v>40562</v>
      </c>
      <c r="C405">
        <v>1</v>
      </c>
      <c r="D405">
        <v>0</v>
      </c>
      <c r="E405">
        <v>1</v>
      </c>
      <c r="F405">
        <v>7</v>
      </c>
      <c r="G405" t="b">
        <v>0</v>
      </c>
      <c r="H405">
        <v>3</v>
      </c>
      <c r="I405">
        <v>2</v>
      </c>
      <c r="J405">
        <v>0.24</v>
      </c>
      <c r="K405">
        <v>415</v>
      </c>
      <c r="L405">
        <v>0.2576</v>
      </c>
      <c r="M405">
        <v>0.92</v>
      </c>
      <c r="N405">
        <v>0.1045</v>
      </c>
      <c r="O405">
        <v>1</v>
      </c>
      <c r="P405">
        <v>89</v>
      </c>
      <c r="Q405">
        <v>90</v>
      </c>
    </row>
    <row r="406" spans="1:17" x14ac:dyDescent="0.3">
      <c r="A406">
        <v>416</v>
      </c>
      <c r="B406" s="4">
        <v>40562</v>
      </c>
      <c r="C406">
        <v>1</v>
      </c>
      <c r="D406">
        <v>0</v>
      </c>
      <c r="E406">
        <v>1</v>
      </c>
      <c r="F406">
        <v>8</v>
      </c>
      <c r="G406" t="b">
        <v>0</v>
      </c>
      <c r="H406">
        <v>3</v>
      </c>
      <c r="I406">
        <v>2</v>
      </c>
      <c r="J406">
        <v>0.24</v>
      </c>
      <c r="K406">
        <v>416</v>
      </c>
      <c r="L406">
        <v>0.2576</v>
      </c>
      <c r="M406">
        <v>0.93</v>
      </c>
      <c r="N406">
        <v>0.1045</v>
      </c>
      <c r="O406">
        <v>1</v>
      </c>
      <c r="P406">
        <v>196</v>
      </c>
      <c r="Q406">
        <v>197</v>
      </c>
    </row>
    <row r="407" spans="1:17" x14ac:dyDescent="0.3">
      <c r="A407">
        <v>417</v>
      </c>
      <c r="B407" s="4">
        <v>40562</v>
      </c>
      <c r="C407">
        <v>1</v>
      </c>
      <c r="D407">
        <v>0</v>
      </c>
      <c r="E407">
        <v>1</v>
      </c>
      <c r="F407">
        <v>9</v>
      </c>
      <c r="G407" t="b">
        <v>0</v>
      </c>
      <c r="H407">
        <v>3</v>
      </c>
      <c r="I407">
        <v>2</v>
      </c>
      <c r="J407">
        <v>0.24</v>
      </c>
      <c r="K407">
        <v>417</v>
      </c>
      <c r="L407">
        <v>0.2576</v>
      </c>
      <c r="M407">
        <v>0.93</v>
      </c>
      <c r="N407">
        <v>0.1045</v>
      </c>
      <c r="O407">
        <v>2</v>
      </c>
      <c r="P407">
        <v>107</v>
      </c>
      <c r="Q407">
        <v>109</v>
      </c>
    </row>
    <row r="408" spans="1:17" x14ac:dyDescent="0.3">
      <c r="A408">
        <v>418</v>
      </c>
      <c r="B408" s="4">
        <v>40562</v>
      </c>
      <c r="C408">
        <v>1</v>
      </c>
      <c r="D408">
        <v>0</v>
      </c>
      <c r="E408">
        <v>1</v>
      </c>
      <c r="F408">
        <v>10</v>
      </c>
      <c r="G408" t="b">
        <v>0</v>
      </c>
      <c r="H408">
        <v>3</v>
      </c>
      <c r="I408">
        <v>2</v>
      </c>
      <c r="J408">
        <v>0.26</v>
      </c>
      <c r="K408">
        <v>418</v>
      </c>
      <c r="L408">
        <v>0.2727</v>
      </c>
      <c r="M408">
        <v>0.93</v>
      </c>
      <c r="N408">
        <v>0.1343</v>
      </c>
      <c r="O408">
        <v>1</v>
      </c>
      <c r="P408">
        <v>46</v>
      </c>
      <c r="Q408">
        <v>47</v>
      </c>
    </row>
    <row r="409" spans="1:17" x14ac:dyDescent="0.3">
      <c r="A409">
        <v>419</v>
      </c>
      <c r="B409" s="4">
        <v>40562</v>
      </c>
      <c r="C409">
        <v>1</v>
      </c>
      <c r="D409">
        <v>0</v>
      </c>
      <c r="E409">
        <v>1</v>
      </c>
      <c r="F409">
        <v>11</v>
      </c>
      <c r="G409" t="b">
        <v>0</v>
      </c>
      <c r="H409">
        <v>3</v>
      </c>
      <c r="I409">
        <v>2</v>
      </c>
      <c r="J409">
        <v>0.28000000000000003</v>
      </c>
      <c r="K409">
        <v>419</v>
      </c>
      <c r="L409">
        <v>0.30299999999999999</v>
      </c>
      <c r="M409">
        <v>0.87</v>
      </c>
      <c r="N409">
        <v>8.9599999999999999E-2</v>
      </c>
      <c r="O409">
        <v>5</v>
      </c>
      <c r="P409">
        <v>47</v>
      </c>
      <c r="Q409">
        <v>52</v>
      </c>
    </row>
    <row r="410" spans="1:17" x14ac:dyDescent="0.3">
      <c r="A410">
        <v>420</v>
      </c>
      <c r="B410" s="4">
        <v>40562</v>
      </c>
      <c r="C410">
        <v>1</v>
      </c>
      <c r="D410">
        <v>0</v>
      </c>
      <c r="E410">
        <v>1</v>
      </c>
      <c r="F410">
        <v>12</v>
      </c>
      <c r="G410" t="b">
        <v>0</v>
      </c>
      <c r="H410">
        <v>3</v>
      </c>
      <c r="I410">
        <v>2</v>
      </c>
      <c r="J410">
        <v>0.3</v>
      </c>
      <c r="K410">
        <v>420</v>
      </c>
      <c r="L410">
        <v>0.31819999999999998</v>
      </c>
      <c r="M410">
        <v>0.81</v>
      </c>
      <c r="N410">
        <v>8.9599999999999999E-2</v>
      </c>
      <c r="O410">
        <v>5</v>
      </c>
      <c r="P410">
        <v>65</v>
      </c>
      <c r="Q410">
        <v>70</v>
      </c>
    </row>
    <row r="411" spans="1:17" x14ac:dyDescent="0.3">
      <c r="A411">
        <v>421</v>
      </c>
      <c r="B411" s="4">
        <v>40562</v>
      </c>
      <c r="C411">
        <v>1</v>
      </c>
      <c r="D411">
        <v>0</v>
      </c>
      <c r="E411">
        <v>1</v>
      </c>
      <c r="F411">
        <v>13</v>
      </c>
      <c r="G411" t="b">
        <v>0</v>
      </c>
      <c r="H411">
        <v>3</v>
      </c>
      <c r="I411">
        <v>1</v>
      </c>
      <c r="J411">
        <v>0.4</v>
      </c>
      <c r="K411">
        <v>421</v>
      </c>
      <c r="L411">
        <v>0.40910000000000002</v>
      </c>
      <c r="M411">
        <v>0.62</v>
      </c>
      <c r="N411">
        <v>0.28360000000000002</v>
      </c>
      <c r="O411">
        <v>11</v>
      </c>
      <c r="P411">
        <v>67</v>
      </c>
      <c r="Q411">
        <v>78</v>
      </c>
    </row>
    <row r="412" spans="1:17" x14ac:dyDescent="0.3">
      <c r="A412">
        <v>422</v>
      </c>
      <c r="B412" s="4">
        <v>40562</v>
      </c>
      <c r="C412">
        <v>1</v>
      </c>
      <c r="D412">
        <v>0</v>
      </c>
      <c r="E412">
        <v>1</v>
      </c>
      <c r="F412">
        <v>14</v>
      </c>
      <c r="G412" t="b">
        <v>0</v>
      </c>
      <c r="H412">
        <v>3</v>
      </c>
      <c r="I412">
        <v>1</v>
      </c>
      <c r="J412">
        <v>0.4</v>
      </c>
      <c r="K412">
        <v>422</v>
      </c>
      <c r="L412">
        <v>0.40910000000000002</v>
      </c>
      <c r="M412">
        <v>0.57999999999999996</v>
      </c>
      <c r="N412">
        <v>0.25369999999999998</v>
      </c>
      <c r="O412">
        <v>7</v>
      </c>
      <c r="P412">
        <v>68</v>
      </c>
      <c r="Q412">
        <v>75</v>
      </c>
    </row>
    <row r="413" spans="1:17" x14ac:dyDescent="0.3">
      <c r="A413">
        <v>423</v>
      </c>
      <c r="B413" s="4">
        <v>40562</v>
      </c>
      <c r="C413">
        <v>1</v>
      </c>
      <c r="D413">
        <v>0</v>
      </c>
      <c r="E413">
        <v>1</v>
      </c>
      <c r="F413">
        <v>15</v>
      </c>
      <c r="G413" t="b">
        <v>0</v>
      </c>
      <c r="H413">
        <v>3</v>
      </c>
      <c r="I413">
        <v>1</v>
      </c>
      <c r="J413">
        <v>0.4</v>
      </c>
      <c r="K413">
        <v>423</v>
      </c>
      <c r="L413">
        <v>0.40910000000000002</v>
      </c>
      <c r="M413">
        <v>0.54</v>
      </c>
      <c r="N413">
        <v>0.28360000000000002</v>
      </c>
      <c r="O413">
        <v>4</v>
      </c>
      <c r="P413">
        <v>78</v>
      </c>
      <c r="Q413">
        <v>82</v>
      </c>
    </row>
    <row r="414" spans="1:17" x14ac:dyDescent="0.3">
      <c r="A414">
        <v>424</v>
      </c>
      <c r="B414" s="4">
        <v>40562</v>
      </c>
      <c r="C414">
        <v>1</v>
      </c>
      <c r="D414">
        <v>0</v>
      </c>
      <c r="E414">
        <v>1</v>
      </c>
      <c r="F414">
        <v>16</v>
      </c>
      <c r="G414" t="b">
        <v>0</v>
      </c>
      <c r="H414">
        <v>3</v>
      </c>
      <c r="I414">
        <v>1</v>
      </c>
      <c r="J414">
        <v>0.38</v>
      </c>
      <c r="K414">
        <v>424</v>
      </c>
      <c r="L414">
        <v>0.39389999999999997</v>
      </c>
      <c r="M414">
        <v>0.57999999999999996</v>
      </c>
      <c r="N414">
        <v>0.3881</v>
      </c>
      <c r="O414">
        <v>10</v>
      </c>
      <c r="P414">
        <v>94</v>
      </c>
      <c r="Q414">
        <v>104</v>
      </c>
    </row>
    <row r="415" spans="1:17" x14ac:dyDescent="0.3">
      <c r="A415">
        <v>425</v>
      </c>
      <c r="B415" s="4">
        <v>40562</v>
      </c>
      <c r="C415">
        <v>1</v>
      </c>
      <c r="D415">
        <v>0</v>
      </c>
      <c r="E415">
        <v>1</v>
      </c>
      <c r="F415">
        <v>17</v>
      </c>
      <c r="G415" t="b">
        <v>0</v>
      </c>
      <c r="H415">
        <v>3</v>
      </c>
      <c r="I415">
        <v>1</v>
      </c>
      <c r="J415">
        <v>0.36</v>
      </c>
      <c r="K415">
        <v>425</v>
      </c>
      <c r="L415">
        <v>0.33329999999999999</v>
      </c>
      <c r="M415">
        <v>0.56999999999999995</v>
      </c>
      <c r="N415">
        <v>0.32840000000000003</v>
      </c>
      <c r="O415">
        <v>7</v>
      </c>
      <c r="P415">
        <v>190</v>
      </c>
      <c r="Q415">
        <v>197</v>
      </c>
    </row>
    <row r="416" spans="1:17" x14ac:dyDescent="0.3">
      <c r="A416">
        <v>426</v>
      </c>
      <c r="B416" s="4">
        <v>40562</v>
      </c>
      <c r="C416">
        <v>1</v>
      </c>
      <c r="D416">
        <v>0</v>
      </c>
      <c r="E416">
        <v>1</v>
      </c>
      <c r="F416">
        <v>18</v>
      </c>
      <c r="G416" t="b">
        <v>0</v>
      </c>
      <c r="H416">
        <v>3</v>
      </c>
      <c r="I416">
        <v>1</v>
      </c>
      <c r="J416">
        <v>0.34</v>
      </c>
      <c r="K416">
        <v>426</v>
      </c>
      <c r="L416">
        <v>0.31819999999999998</v>
      </c>
      <c r="M416">
        <v>0.61</v>
      </c>
      <c r="N416">
        <v>0.28360000000000002</v>
      </c>
      <c r="O416">
        <v>5</v>
      </c>
      <c r="P416">
        <v>156</v>
      </c>
      <c r="Q416">
        <v>161</v>
      </c>
    </row>
    <row r="417" spans="1:17" x14ac:dyDescent="0.3">
      <c r="A417">
        <v>427</v>
      </c>
      <c r="B417" s="4">
        <v>40562</v>
      </c>
      <c r="C417">
        <v>1</v>
      </c>
      <c r="D417">
        <v>0</v>
      </c>
      <c r="E417">
        <v>1</v>
      </c>
      <c r="F417">
        <v>19</v>
      </c>
      <c r="G417" t="b">
        <v>0</v>
      </c>
      <c r="H417">
        <v>3</v>
      </c>
      <c r="I417">
        <v>1</v>
      </c>
      <c r="J417">
        <v>0.32</v>
      </c>
      <c r="K417">
        <v>427</v>
      </c>
      <c r="L417">
        <v>0.28789999999999999</v>
      </c>
      <c r="M417">
        <v>0.56999999999999995</v>
      </c>
      <c r="N417">
        <v>0.41789999999999999</v>
      </c>
      <c r="O417">
        <v>4</v>
      </c>
      <c r="P417">
        <v>108</v>
      </c>
      <c r="Q417">
        <v>112</v>
      </c>
    </row>
    <row r="418" spans="1:17" x14ac:dyDescent="0.3">
      <c r="A418">
        <v>428</v>
      </c>
      <c r="B418" s="4">
        <v>40562</v>
      </c>
      <c r="C418">
        <v>1</v>
      </c>
      <c r="D418">
        <v>0</v>
      </c>
      <c r="E418">
        <v>1</v>
      </c>
      <c r="F418">
        <v>20</v>
      </c>
      <c r="G418" t="b">
        <v>0</v>
      </c>
      <c r="H418">
        <v>3</v>
      </c>
      <c r="I418">
        <v>1</v>
      </c>
      <c r="J418">
        <v>0.32</v>
      </c>
      <c r="K418">
        <v>428</v>
      </c>
      <c r="L418">
        <v>0.30299999999999999</v>
      </c>
      <c r="M418">
        <v>0.49</v>
      </c>
      <c r="N418">
        <v>0.29849999999999999</v>
      </c>
      <c r="O418">
        <v>2</v>
      </c>
      <c r="P418">
        <v>74</v>
      </c>
      <c r="Q418">
        <v>76</v>
      </c>
    </row>
    <row r="419" spans="1:17" x14ac:dyDescent="0.3">
      <c r="A419">
        <v>429</v>
      </c>
      <c r="B419" s="4">
        <v>40562</v>
      </c>
      <c r="C419">
        <v>1</v>
      </c>
      <c r="D419">
        <v>0</v>
      </c>
      <c r="E419">
        <v>1</v>
      </c>
      <c r="F419">
        <v>21</v>
      </c>
      <c r="G419" t="b">
        <v>0</v>
      </c>
      <c r="H419">
        <v>3</v>
      </c>
      <c r="I419">
        <v>1</v>
      </c>
      <c r="J419">
        <v>0.32</v>
      </c>
      <c r="K419">
        <v>429</v>
      </c>
      <c r="L419">
        <v>0.28789999999999999</v>
      </c>
      <c r="M419">
        <v>0.49</v>
      </c>
      <c r="N419">
        <v>0.41789999999999999</v>
      </c>
      <c r="O419">
        <v>4</v>
      </c>
      <c r="P419">
        <v>55</v>
      </c>
      <c r="Q419">
        <v>59</v>
      </c>
    </row>
    <row r="420" spans="1:17" x14ac:dyDescent="0.3">
      <c r="A420">
        <v>430</v>
      </c>
      <c r="B420" s="4">
        <v>40562</v>
      </c>
      <c r="C420">
        <v>1</v>
      </c>
      <c r="D420">
        <v>0</v>
      </c>
      <c r="E420">
        <v>1</v>
      </c>
      <c r="F420">
        <v>22</v>
      </c>
      <c r="G420" t="b">
        <v>0</v>
      </c>
      <c r="H420">
        <v>3</v>
      </c>
      <c r="I420">
        <v>1</v>
      </c>
      <c r="J420">
        <v>0.3</v>
      </c>
      <c r="K420">
        <v>430</v>
      </c>
      <c r="L420">
        <v>0.30299999999999999</v>
      </c>
      <c r="M420">
        <v>0.52</v>
      </c>
      <c r="N420">
        <v>0.16420000000000001</v>
      </c>
      <c r="O420">
        <v>6</v>
      </c>
      <c r="P420">
        <v>53</v>
      </c>
      <c r="Q420">
        <v>59</v>
      </c>
    </row>
    <row r="421" spans="1:17" x14ac:dyDescent="0.3">
      <c r="A421">
        <v>431</v>
      </c>
      <c r="B421" s="4">
        <v>40562</v>
      </c>
      <c r="C421">
        <v>1</v>
      </c>
      <c r="D421">
        <v>0</v>
      </c>
      <c r="E421">
        <v>1</v>
      </c>
      <c r="F421">
        <v>23</v>
      </c>
      <c r="G421" t="b">
        <v>0</v>
      </c>
      <c r="H421">
        <v>3</v>
      </c>
      <c r="I421">
        <v>1</v>
      </c>
      <c r="J421">
        <v>0.3</v>
      </c>
      <c r="K421">
        <v>431</v>
      </c>
      <c r="L421">
        <v>0.2727</v>
      </c>
      <c r="M421">
        <v>0.52</v>
      </c>
      <c r="N421">
        <v>0.4627</v>
      </c>
      <c r="O421">
        <v>1</v>
      </c>
      <c r="P421">
        <v>27</v>
      </c>
      <c r="Q421">
        <v>28</v>
      </c>
    </row>
    <row r="422" spans="1:17" x14ac:dyDescent="0.3">
      <c r="A422">
        <v>432</v>
      </c>
      <c r="B422" s="4">
        <v>40563</v>
      </c>
      <c r="C422">
        <v>1</v>
      </c>
      <c r="D422">
        <v>0</v>
      </c>
      <c r="E422">
        <v>1</v>
      </c>
      <c r="F422">
        <v>0</v>
      </c>
      <c r="G422" t="b">
        <v>0</v>
      </c>
      <c r="H422">
        <v>4</v>
      </c>
      <c r="I422">
        <v>1</v>
      </c>
      <c r="J422">
        <v>0.26</v>
      </c>
      <c r="K422">
        <v>432</v>
      </c>
      <c r="L422">
        <v>0.2273</v>
      </c>
      <c r="M422">
        <v>0.56000000000000005</v>
      </c>
      <c r="N422">
        <v>0.3881</v>
      </c>
      <c r="O422">
        <v>5</v>
      </c>
      <c r="P422">
        <v>8</v>
      </c>
      <c r="Q422">
        <v>13</v>
      </c>
    </row>
    <row r="423" spans="1:17" x14ac:dyDescent="0.3">
      <c r="A423">
        <v>433</v>
      </c>
      <c r="B423" s="4">
        <v>40563</v>
      </c>
      <c r="C423">
        <v>1</v>
      </c>
      <c r="D423">
        <v>0</v>
      </c>
      <c r="E423">
        <v>1</v>
      </c>
      <c r="F423">
        <v>1</v>
      </c>
      <c r="G423" t="b">
        <v>0</v>
      </c>
      <c r="H423">
        <v>4</v>
      </c>
      <c r="I423">
        <v>1</v>
      </c>
      <c r="J423">
        <v>0.26</v>
      </c>
      <c r="K423">
        <v>433</v>
      </c>
      <c r="L423">
        <v>0.2727</v>
      </c>
      <c r="M423">
        <v>0.56000000000000005</v>
      </c>
      <c r="N423">
        <v>0</v>
      </c>
      <c r="O423">
        <v>2</v>
      </c>
      <c r="P423">
        <v>3</v>
      </c>
      <c r="Q423">
        <v>5</v>
      </c>
    </row>
    <row r="424" spans="1:17" x14ac:dyDescent="0.3">
      <c r="A424">
        <v>434</v>
      </c>
      <c r="B424" s="4">
        <v>40563</v>
      </c>
      <c r="C424">
        <v>1</v>
      </c>
      <c r="D424">
        <v>0</v>
      </c>
      <c r="E424">
        <v>1</v>
      </c>
      <c r="F424">
        <v>2</v>
      </c>
      <c r="G424" t="b">
        <v>0</v>
      </c>
      <c r="H424">
        <v>4</v>
      </c>
      <c r="I424">
        <v>1</v>
      </c>
      <c r="J424">
        <v>0.26</v>
      </c>
      <c r="K424">
        <v>434</v>
      </c>
      <c r="L424">
        <v>0.2727</v>
      </c>
      <c r="M424">
        <v>0.56000000000000005</v>
      </c>
      <c r="N424">
        <v>0</v>
      </c>
      <c r="O424">
        <v>0</v>
      </c>
      <c r="P424">
        <v>2</v>
      </c>
      <c r="Q424">
        <v>2</v>
      </c>
    </row>
    <row r="425" spans="1:17" x14ac:dyDescent="0.3">
      <c r="A425">
        <v>435</v>
      </c>
      <c r="B425" s="4">
        <v>40563</v>
      </c>
      <c r="C425">
        <v>1</v>
      </c>
      <c r="D425">
        <v>0</v>
      </c>
      <c r="E425">
        <v>1</v>
      </c>
      <c r="F425">
        <v>3</v>
      </c>
      <c r="G425" t="b">
        <v>0</v>
      </c>
      <c r="H425">
        <v>4</v>
      </c>
      <c r="I425">
        <v>1</v>
      </c>
      <c r="J425">
        <v>0.26</v>
      </c>
      <c r="K425">
        <v>435</v>
      </c>
      <c r="L425">
        <v>0.2576</v>
      </c>
      <c r="M425">
        <v>0.56000000000000005</v>
      </c>
      <c r="N425">
        <v>0.16420000000000001</v>
      </c>
      <c r="O425">
        <v>0</v>
      </c>
      <c r="P425">
        <v>1</v>
      </c>
      <c r="Q425">
        <v>1</v>
      </c>
    </row>
    <row r="426" spans="1:17" x14ac:dyDescent="0.3">
      <c r="A426">
        <v>436</v>
      </c>
      <c r="B426" s="4">
        <v>40563</v>
      </c>
      <c r="C426">
        <v>1</v>
      </c>
      <c r="D426">
        <v>0</v>
      </c>
      <c r="E426">
        <v>1</v>
      </c>
      <c r="F426">
        <v>4</v>
      </c>
      <c r="G426" t="b">
        <v>0</v>
      </c>
      <c r="H426">
        <v>4</v>
      </c>
      <c r="I426">
        <v>1</v>
      </c>
      <c r="J426">
        <v>0.26</v>
      </c>
      <c r="K426">
        <v>436</v>
      </c>
      <c r="L426">
        <v>0.2576</v>
      </c>
      <c r="M426">
        <v>0.56000000000000005</v>
      </c>
      <c r="N426">
        <v>0.16420000000000001</v>
      </c>
      <c r="O426">
        <v>0</v>
      </c>
      <c r="P426">
        <v>1</v>
      </c>
      <c r="Q426">
        <v>1</v>
      </c>
    </row>
    <row r="427" spans="1:17" x14ac:dyDescent="0.3">
      <c r="A427">
        <v>437</v>
      </c>
      <c r="B427" s="4">
        <v>40563</v>
      </c>
      <c r="C427">
        <v>1</v>
      </c>
      <c r="D427">
        <v>0</v>
      </c>
      <c r="E427">
        <v>1</v>
      </c>
      <c r="F427">
        <v>5</v>
      </c>
      <c r="G427" t="b">
        <v>0</v>
      </c>
      <c r="H427">
        <v>4</v>
      </c>
      <c r="I427">
        <v>1</v>
      </c>
      <c r="J427">
        <v>0.24</v>
      </c>
      <c r="K427">
        <v>437</v>
      </c>
      <c r="L427">
        <v>0.2273</v>
      </c>
      <c r="M427">
        <v>0.6</v>
      </c>
      <c r="N427">
        <v>0.22389999999999999</v>
      </c>
      <c r="O427">
        <v>0</v>
      </c>
      <c r="P427">
        <v>6</v>
      </c>
      <c r="Q427">
        <v>6</v>
      </c>
    </row>
    <row r="428" spans="1:17" x14ac:dyDescent="0.3">
      <c r="A428">
        <v>438</v>
      </c>
      <c r="B428" s="4">
        <v>40563</v>
      </c>
      <c r="C428">
        <v>1</v>
      </c>
      <c r="D428">
        <v>0</v>
      </c>
      <c r="E428">
        <v>1</v>
      </c>
      <c r="F428">
        <v>6</v>
      </c>
      <c r="G428" t="b">
        <v>0</v>
      </c>
      <c r="H428">
        <v>4</v>
      </c>
      <c r="I428">
        <v>1</v>
      </c>
      <c r="J428">
        <v>0.22</v>
      </c>
      <c r="K428">
        <v>438</v>
      </c>
      <c r="L428">
        <v>0.21210000000000001</v>
      </c>
      <c r="M428">
        <v>0.6</v>
      </c>
      <c r="N428">
        <v>0.22389999999999999</v>
      </c>
      <c r="O428">
        <v>0</v>
      </c>
      <c r="P428">
        <v>35</v>
      </c>
      <c r="Q428">
        <v>35</v>
      </c>
    </row>
    <row r="429" spans="1:17" x14ac:dyDescent="0.3">
      <c r="A429">
        <v>439</v>
      </c>
      <c r="B429" s="4">
        <v>40563</v>
      </c>
      <c r="C429">
        <v>1</v>
      </c>
      <c r="D429">
        <v>0</v>
      </c>
      <c r="E429">
        <v>1</v>
      </c>
      <c r="F429">
        <v>7</v>
      </c>
      <c r="G429" t="b">
        <v>0</v>
      </c>
      <c r="H429">
        <v>4</v>
      </c>
      <c r="I429">
        <v>1</v>
      </c>
      <c r="J429">
        <v>0.22</v>
      </c>
      <c r="K429">
        <v>439</v>
      </c>
      <c r="L429">
        <v>0.21210000000000001</v>
      </c>
      <c r="M429">
        <v>0.55000000000000004</v>
      </c>
      <c r="N429">
        <v>0.22389999999999999</v>
      </c>
      <c r="O429">
        <v>1</v>
      </c>
      <c r="P429">
        <v>100</v>
      </c>
      <c r="Q429">
        <v>101</v>
      </c>
    </row>
    <row r="430" spans="1:17" x14ac:dyDescent="0.3">
      <c r="A430">
        <v>440</v>
      </c>
      <c r="B430" s="4">
        <v>40563</v>
      </c>
      <c r="C430">
        <v>1</v>
      </c>
      <c r="D430">
        <v>0</v>
      </c>
      <c r="E430">
        <v>1</v>
      </c>
      <c r="F430">
        <v>8</v>
      </c>
      <c r="G430" t="b">
        <v>0</v>
      </c>
      <c r="H430">
        <v>4</v>
      </c>
      <c r="I430">
        <v>1</v>
      </c>
      <c r="J430">
        <v>0.22</v>
      </c>
      <c r="K430">
        <v>440</v>
      </c>
      <c r="L430">
        <v>0.21210000000000001</v>
      </c>
      <c r="M430">
        <v>0.55000000000000004</v>
      </c>
      <c r="N430">
        <v>0.28360000000000002</v>
      </c>
      <c r="O430">
        <v>2</v>
      </c>
      <c r="P430">
        <v>247</v>
      </c>
      <c r="Q430">
        <v>249</v>
      </c>
    </row>
    <row r="431" spans="1:17" x14ac:dyDescent="0.3">
      <c r="A431">
        <v>441</v>
      </c>
      <c r="B431" s="4">
        <v>40563</v>
      </c>
      <c r="C431">
        <v>1</v>
      </c>
      <c r="D431">
        <v>0</v>
      </c>
      <c r="E431">
        <v>1</v>
      </c>
      <c r="F431">
        <v>9</v>
      </c>
      <c r="G431" t="b">
        <v>0</v>
      </c>
      <c r="H431">
        <v>4</v>
      </c>
      <c r="I431">
        <v>2</v>
      </c>
      <c r="J431">
        <v>0.24</v>
      </c>
      <c r="K431">
        <v>441</v>
      </c>
      <c r="L431">
        <v>0.2273</v>
      </c>
      <c r="M431">
        <v>0.52</v>
      </c>
      <c r="N431">
        <v>0.22389999999999999</v>
      </c>
      <c r="O431">
        <v>3</v>
      </c>
      <c r="P431">
        <v>140</v>
      </c>
      <c r="Q431">
        <v>143</v>
      </c>
    </row>
    <row r="432" spans="1:17" x14ac:dyDescent="0.3">
      <c r="A432">
        <v>442</v>
      </c>
      <c r="B432" s="4">
        <v>40563</v>
      </c>
      <c r="C432">
        <v>1</v>
      </c>
      <c r="D432">
        <v>0</v>
      </c>
      <c r="E432">
        <v>1</v>
      </c>
      <c r="F432">
        <v>10</v>
      </c>
      <c r="G432" t="b">
        <v>0</v>
      </c>
      <c r="H432">
        <v>4</v>
      </c>
      <c r="I432">
        <v>1</v>
      </c>
      <c r="J432">
        <v>0.26</v>
      </c>
      <c r="K432">
        <v>442</v>
      </c>
      <c r="L432">
        <v>0.2273</v>
      </c>
      <c r="M432">
        <v>0.48</v>
      </c>
      <c r="N432">
        <v>0.29849999999999999</v>
      </c>
      <c r="O432">
        <v>1</v>
      </c>
      <c r="P432">
        <v>56</v>
      </c>
      <c r="Q432">
        <v>57</v>
      </c>
    </row>
    <row r="433" spans="1:17" x14ac:dyDescent="0.3">
      <c r="A433">
        <v>443</v>
      </c>
      <c r="B433" s="4">
        <v>40563</v>
      </c>
      <c r="C433">
        <v>1</v>
      </c>
      <c r="D433">
        <v>0</v>
      </c>
      <c r="E433">
        <v>1</v>
      </c>
      <c r="F433">
        <v>11</v>
      </c>
      <c r="G433" t="b">
        <v>0</v>
      </c>
      <c r="H433">
        <v>4</v>
      </c>
      <c r="I433">
        <v>2</v>
      </c>
      <c r="J433">
        <v>0.28000000000000003</v>
      </c>
      <c r="K433">
        <v>443</v>
      </c>
      <c r="L433">
        <v>0.2727</v>
      </c>
      <c r="M433">
        <v>0.45</v>
      </c>
      <c r="N433">
        <v>0.16420000000000001</v>
      </c>
      <c r="O433">
        <v>5</v>
      </c>
      <c r="P433">
        <v>63</v>
      </c>
      <c r="Q433">
        <v>68</v>
      </c>
    </row>
    <row r="434" spans="1:17" x14ac:dyDescent="0.3">
      <c r="A434">
        <v>444</v>
      </c>
      <c r="B434" s="4">
        <v>40563</v>
      </c>
      <c r="C434">
        <v>1</v>
      </c>
      <c r="D434">
        <v>0</v>
      </c>
      <c r="E434">
        <v>1</v>
      </c>
      <c r="F434">
        <v>12</v>
      </c>
      <c r="G434" t="b">
        <v>0</v>
      </c>
      <c r="H434">
        <v>4</v>
      </c>
      <c r="I434">
        <v>2</v>
      </c>
      <c r="J434">
        <v>0.3</v>
      </c>
      <c r="K434">
        <v>444</v>
      </c>
      <c r="L434">
        <v>0.33329999999999999</v>
      </c>
      <c r="M434">
        <v>0.42</v>
      </c>
      <c r="N434">
        <v>0</v>
      </c>
      <c r="O434">
        <v>7</v>
      </c>
      <c r="P434">
        <v>77</v>
      </c>
      <c r="Q434">
        <v>84</v>
      </c>
    </row>
    <row r="435" spans="1:17" x14ac:dyDescent="0.3">
      <c r="A435">
        <v>445</v>
      </c>
      <c r="B435" s="4">
        <v>40563</v>
      </c>
      <c r="C435">
        <v>1</v>
      </c>
      <c r="D435">
        <v>0</v>
      </c>
      <c r="E435">
        <v>1</v>
      </c>
      <c r="F435">
        <v>13</v>
      </c>
      <c r="G435" t="b">
        <v>0</v>
      </c>
      <c r="H435">
        <v>4</v>
      </c>
      <c r="I435">
        <v>2</v>
      </c>
      <c r="J435">
        <v>0.28000000000000003</v>
      </c>
      <c r="K435">
        <v>445</v>
      </c>
      <c r="L435">
        <v>0.28789999999999999</v>
      </c>
      <c r="M435">
        <v>0.45</v>
      </c>
      <c r="N435">
        <v>0.1045</v>
      </c>
      <c r="O435">
        <v>12</v>
      </c>
      <c r="P435">
        <v>86</v>
      </c>
      <c r="Q435">
        <v>98</v>
      </c>
    </row>
    <row r="436" spans="1:17" x14ac:dyDescent="0.3">
      <c r="A436">
        <v>446</v>
      </c>
      <c r="B436" s="4">
        <v>40563</v>
      </c>
      <c r="C436">
        <v>1</v>
      </c>
      <c r="D436">
        <v>0</v>
      </c>
      <c r="E436">
        <v>1</v>
      </c>
      <c r="F436">
        <v>14</v>
      </c>
      <c r="G436" t="b">
        <v>0</v>
      </c>
      <c r="H436">
        <v>4</v>
      </c>
      <c r="I436">
        <v>2</v>
      </c>
      <c r="J436">
        <v>0.3</v>
      </c>
      <c r="K436">
        <v>446</v>
      </c>
      <c r="L436">
        <v>0.30299999999999999</v>
      </c>
      <c r="M436">
        <v>0.45</v>
      </c>
      <c r="N436">
        <v>0.1343</v>
      </c>
      <c r="O436">
        <v>6</v>
      </c>
      <c r="P436">
        <v>75</v>
      </c>
      <c r="Q436">
        <v>81</v>
      </c>
    </row>
    <row r="437" spans="1:17" x14ac:dyDescent="0.3">
      <c r="A437">
        <v>447</v>
      </c>
      <c r="B437" s="4">
        <v>40563</v>
      </c>
      <c r="C437">
        <v>1</v>
      </c>
      <c r="D437">
        <v>0</v>
      </c>
      <c r="E437">
        <v>1</v>
      </c>
      <c r="F437">
        <v>15</v>
      </c>
      <c r="G437" t="b">
        <v>0</v>
      </c>
      <c r="H437">
        <v>4</v>
      </c>
      <c r="I437">
        <v>2</v>
      </c>
      <c r="J437">
        <v>0.32</v>
      </c>
      <c r="K437">
        <v>447</v>
      </c>
      <c r="L437">
        <v>0.31819999999999998</v>
      </c>
      <c r="M437">
        <v>0.45</v>
      </c>
      <c r="N437">
        <v>0.19400000000000001</v>
      </c>
      <c r="O437">
        <v>8</v>
      </c>
      <c r="P437">
        <v>62</v>
      </c>
      <c r="Q437">
        <v>70</v>
      </c>
    </row>
    <row r="438" spans="1:17" x14ac:dyDescent="0.3">
      <c r="A438">
        <v>448</v>
      </c>
      <c r="B438" s="4">
        <v>40563</v>
      </c>
      <c r="C438">
        <v>1</v>
      </c>
      <c r="D438">
        <v>0</v>
      </c>
      <c r="E438">
        <v>1</v>
      </c>
      <c r="F438">
        <v>16</v>
      </c>
      <c r="G438" t="b">
        <v>0</v>
      </c>
      <c r="H438">
        <v>4</v>
      </c>
      <c r="I438">
        <v>2</v>
      </c>
      <c r="J438">
        <v>0.3</v>
      </c>
      <c r="K438">
        <v>448</v>
      </c>
      <c r="L438">
        <v>0.30299999999999999</v>
      </c>
      <c r="M438">
        <v>0.49</v>
      </c>
      <c r="N438">
        <v>0.1343</v>
      </c>
      <c r="O438">
        <v>8</v>
      </c>
      <c r="P438">
        <v>83</v>
      </c>
      <c r="Q438">
        <v>91</v>
      </c>
    </row>
    <row r="439" spans="1:17" x14ac:dyDescent="0.3">
      <c r="A439">
        <v>449</v>
      </c>
      <c r="B439" s="4">
        <v>40563</v>
      </c>
      <c r="C439">
        <v>1</v>
      </c>
      <c r="D439">
        <v>0</v>
      </c>
      <c r="E439">
        <v>1</v>
      </c>
      <c r="F439">
        <v>17</v>
      </c>
      <c r="G439" t="b">
        <v>0</v>
      </c>
      <c r="H439">
        <v>4</v>
      </c>
      <c r="I439">
        <v>2</v>
      </c>
      <c r="J439">
        <v>0.3</v>
      </c>
      <c r="K439">
        <v>449</v>
      </c>
      <c r="L439">
        <v>0.31819999999999998</v>
      </c>
      <c r="M439">
        <v>0.49</v>
      </c>
      <c r="N439">
        <v>0.1045</v>
      </c>
      <c r="O439">
        <v>8</v>
      </c>
      <c r="P439">
        <v>207</v>
      </c>
      <c r="Q439">
        <v>215</v>
      </c>
    </row>
    <row r="440" spans="1:17" x14ac:dyDescent="0.3">
      <c r="A440">
        <v>450</v>
      </c>
      <c r="B440" s="4">
        <v>40563</v>
      </c>
      <c r="C440">
        <v>1</v>
      </c>
      <c r="D440">
        <v>0</v>
      </c>
      <c r="E440">
        <v>1</v>
      </c>
      <c r="F440">
        <v>18</v>
      </c>
      <c r="G440" t="b">
        <v>0</v>
      </c>
      <c r="H440">
        <v>4</v>
      </c>
      <c r="I440">
        <v>2</v>
      </c>
      <c r="J440">
        <v>0.26</v>
      </c>
      <c r="K440">
        <v>450</v>
      </c>
      <c r="L440">
        <v>0.2576</v>
      </c>
      <c r="M440">
        <v>0.56000000000000005</v>
      </c>
      <c r="N440">
        <v>0.19400000000000001</v>
      </c>
      <c r="O440">
        <v>1</v>
      </c>
      <c r="P440">
        <v>184</v>
      </c>
      <c r="Q440">
        <v>185</v>
      </c>
    </row>
    <row r="441" spans="1:17" x14ac:dyDescent="0.3">
      <c r="A441">
        <v>451</v>
      </c>
      <c r="B441" s="4">
        <v>40563</v>
      </c>
      <c r="C441">
        <v>1</v>
      </c>
      <c r="D441">
        <v>0</v>
      </c>
      <c r="E441">
        <v>1</v>
      </c>
      <c r="F441">
        <v>19</v>
      </c>
      <c r="G441" t="b">
        <v>0</v>
      </c>
      <c r="H441">
        <v>4</v>
      </c>
      <c r="I441">
        <v>1</v>
      </c>
      <c r="J441">
        <v>0.26</v>
      </c>
      <c r="K441">
        <v>451</v>
      </c>
      <c r="L441">
        <v>0.2273</v>
      </c>
      <c r="M441">
        <v>0.56000000000000005</v>
      </c>
      <c r="N441">
        <v>0.32840000000000003</v>
      </c>
      <c r="O441">
        <v>6</v>
      </c>
      <c r="P441">
        <v>146</v>
      </c>
      <c r="Q441">
        <v>152</v>
      </c>
    </row>
    <row r="442" spans="1:17" x14ac:dyDescent="0.3">
      <c r="A442">
        <v>452</v>
      </c>
      <c r="B442" s="4">
        <v>40563</v>
      </c>
      <c r="C442">
        <v>1</v>
      </c>
      <c r="D442">
        <v>0</v>
      </c>
      <c r="E442">
        <v>1</v>
      </c>
      <c r="F442">
        <v>20</v>
      </c>
      <c r="G442" t="b">
        <v>0</v>
      </c>
      <c r="H442">
        <v>4</v>
      </c>
      <c r="I442">
        <v>2</v>
      </c>
      <c r="J442">
        <v>0.26</v>
      </c>
      <c r="K442">
        <v>452</v>
      </c>
      <c r="L442">
        <v>0.2424</v>
      </c>
      <c r="M442">
        <v>0.6</v>
      </c>
      <c r="N442">
        <v>0.28360000000000002</v>
      </c>
      <c r="O442">
        <v>2</v>
      </c>
      <c r="P442">
        <v>124</v>
      </c>
      <c r="Q442">
        <v>126</v>
      </c>
    </row>
    <row r="443" spans="1:17" x14ac:dyDescent="0.3">
      <c r="A443">
        <v>453</v>
      </c>
      <c r="B443" s="4">
        <v>40563</v>
      </c>
      <c r="C443">
        <v>1</v>
      </c>
      <c r="D443">
        <v>0</v>
      </c>
      <c r="E443">
        <v>1</v>
      </c>
      <c r="F443">
        <v>21</v>
      </c>
      <c r="G443" t="b">
        <v>0</v>
      </c>
      <c r="H443">
        <v>4</v>
      </c>
      <c r="I443">
        <v>2</v>
      </c>
      <c r="J443">
        <v>0.24</v>
      </c>
      <c r="K443">
        <v>453</v>
      </c>
      <c r="L443">
        <v>0.2273</v>
      </c>
      <c r="M443">
        <v>0.6</v>
      </c>
      <c r="N443">
        <v>0.25369999999999998</v>
      </c>
      <c r="O443">
        <v>3</v>
      </c>
      <c r="P443">
        <v>54</v>
      </c>
      <c r="Q443">
        <v>57</v>
      </c>
    </row>
    <row r="444" spans="1:17" x14ac:dyDescent="0.3">
      <c r="A444">
        <v>454</v>
      </c>
      <c r="B444" s="4">
        <v>40563</v>
      </c>
      <c r="C444">
        <v>1</v>
      </c>
      <c r="D444">
        <v>0</v>
      </c>
      <c r="E444">
        <v>1</v>
      </c>
      <c r="F444">
        <v>22</v>
      </c>
      <c r="G444" t="b">
        <v>0</v>
      </c>
      <c r="H444">
        <v>4</v>
      </c>
      <c r="I444">
        <v>2</v>
      </c>
      <c r="J444">
        <v>0.24</v>
      </c>
      <c r="K444">
        <v>454</v>
      </c>
      <c r="L444">
        <v>0.21210000000000001</v>
      </c>
      <c r="M444">
        <v>0.65</v>
      </c>
      <c r="N444">
        <v>0.28360000000000002</v>
      </c>
      <c r="O444">
        <v>0</v>
      </c>
      <c r="P444">
        <v>56</v>
      </c>
      <c r="Q444">
        <v>56</v>
      </c>
    </row>
    <row r="445" spans="1:17" x14ac:dyDescent="0.3">
      <c r="A445">
        <v>455</v>
      </c>
      <c r="B445" s="4">
        <v>40563</v>
      </c>
      <c r="C445">
        <v>1</v>
      </c>
      <c r="D445">
        <v>0</v>
      </c>
      <c r="E445">
        <v>1</v>
      </c>
      <c r="F445">
        <v>23</v>
      </c>
      <c r="G445" t="b">
        <v>0</v>
      </c>
      <c r="H445">
        <v>4</v>
      </c>
      <c r="I445">
        <v>2</v>
      </c>
      <c r="J445">
        <v>0.24</v>
      </c>
      <c r="K445">
        <v>455</v>
      </c>
      <c r="L445">
        <v>0.21210000000000001</v>
      </c>
      <c r="M445">
        <v>0.65</v>
      </c>
      <c r="N445">
        <v>0.32840000000000003</v>
      </c>
      <c r="O445">
        <v>3</v>
      </c>
      <c r="P445">
        <v>28</v>
      </c>
      <c r="Q445">
        <v>31</v>
      </c>
    </row>
    <row r="446" spans="1:17" x14ac:dyDescent="0.3">
      <c r="A446">
        <v>456</v>
      </c>
      <c r="B446" s="4">
        <v>40564</v>
      </c>
      <c r="C446">
        <v>1</v>
      </c>
      <c r="D446">
        <v>0</v>
      </c>
      <c r="E446">
        <v>1</v>
      </c>
      <c r="F446">
        <v>0</v>
      </c>
      <c r="G446" t="b">
        <v>0</v>
      </c>
      <c r="H446">
        <v>5</v>
      </c>
      <c r="I446">
        <v>2</v>
      </c>
      <c r="J446">
        <v>0.24</v>
      </c>
      <c r="K446">
        <v>456</v>
      </c>
      <c r="L446">
        <v>0.2273</v>
      </c>
      <c r="M446">
        <v>0.7</v>
      </c>
      <c r="N446">
        <v>0.25369999999999998</v>
      </c>
      <c r="O446">
        <v>1</v>
      </c>
      <c r="P446">
        <v>20</v>
      </c>
      <c r="Q446">
        <v>21</v>
      </c>
    </row>
    <row r="447" spans="1:17" x14ac:dyDescent="0.3">
      <c r="A447">
        <v>457</v>
      </c>
      <c r="B447" s="4">
        <v>40564</v>
      </c>
      <c r="C447">
        <v>1</v>
      </c>
      <c r="D447">
        <v>0</v>
      </c>
      <c r="E447">
        <v>1</v>
      </c>
      <c r="F447">
        <v>1</v>
      </c>
      <c r="G447" t="b">
        <v>0</v>
      </c>
      <c r="H447">
        <v>5</v>
      </c>
      <c r="I447">
        <v>2</v>
      </c>
      <c r="J447">
        <v>0.24</v>
      </c>
      <c r="K447">
        <v>457</v>
      </c>
      <c r="L447">
        <v>0.2273</v>
      </c>
      <c r="M447">
        <v>0.7</v>
      </c>
      <c r="N447">
        <v>0.25369999999999998</v>
      </c>
      <c r="O447">
        <v>0</v>
      </c>
      <c r="P447">
        <v>6</v>
      </c>
      <c r="Q447">
        <v>6</v>
      </c>
    </row>
    <row r="448" spans="1:17" x14ac:dyDescent="0.3">
      <c r="A448">
        <v>458</v>
      </c>
      <c r="B448" s="4">
        <v>40564</v>
      </c>
      <c r="C448">
        <v>1</v>
      </c>
      <c r="D448">
        <v>0</v>
      </c>
      <c r="E448">
        <v>1</v>
      </c>
      <c r="F448">
        <v>2</v>
      </c>
      <c r="G448" t="b">
        <v>0</v>
      </c>
      <c r="H448">
        <v>5</v>
      </c>
      <c r="I448">
        <v>3</v>
      </c>
      <c r="J448">
        <v>0.24</v>
      </c>
      <c r="K448">
        <v>458</v>
      </c>
      <c r="L448">
        <v>0.2424</v>
      </c>
      <c r="M448">
        <v>0.75</v>
      </c>
      <c r="N448">
        <v>0.16420000000000001</v>
      </c>
      <c r="O448">
        <v>0</v>
      </c>
      <c r="P448">
        <v>2</v>
      </c>
      <c r="Q448">
        <v>2</v>
      </c>
    </row>
    <row r="449" spans="1:17" x14ac:dyDescent="0.3">
      <c r="A449">
        <v>459</v>
      </c>
      <c r="B449" s="4">
        <v>40564</v>
      </c>
      <c r="C449">
        <v>1</v>
      </c>
      <c r="D449">
        <v>0</v>
      </c>
      <c r="E449">
        <v>1</v>
      </c>
      <c r="F449">
        <v>3</v>
      </c>
      <c r="G449" t="b">
        <v>0</v>
      </c>
      <c r="H449">
        <v>5</v>
      </c>
      <c r="I449">
        <v>3</v>
      </c>
      <c r="J449">
        <v>0.22</v>
      </c>
      <c r="K449">
        <v>459</v>
      </c>
      <c r="L449">
        <v>0.21210000000000001</v>
      </c>
      <c r="M449">
        <v>0.8</v>
      </c>
      <c r="N449">
        <v>0.29849999999999999</v>
      </c>
      <c r="O449">
        <v>0</v>
      </c>
      <c r="P449">
        <v>1</v>
      </c>
      <c r="Q449">
        <v>1</v>
      </c>
    </row>
    <row r="450" spans="1:17" x14ac:dyDescent="0.3">
      <c r="A450">
        <v>460</v>
      </c>
      <c r="B450" s="4">
        <v>40564</v>
      </c>
      <c r="C450">
        <v>1</v>
      </c>
      <c r="D450">
        <v>0</v>
      </c>
      <c r="E450">
        <v>1</v>
      </c>
      <c r="F450">
        <v>4</v>
      </c>
      <c r="G450" t="b">
        <v>0</v>
      </c>
      <c r="H450">
        <v>5</v>
      </c>
      <c r="I450">
        <v>2</v>
      </c>
      <c r="J450">
        <v>0.22</v>
      </c>
      <c r="K450">
        <v>460</v>
      </c>
      <c r="L450">
        <v>0.2576</v>
      </c>
      <c r="M450">
        <v>0.87</v>
      </c>
      <c r="N450">
        <v>8.9599999999999999E-2</v>
      </c>
      <c r="O450">
        <v>0</v>
      </c>
      <c r="P450">
        <v>1</v>
      </c>
      <c r="Q450">
        <v>1</v>
      </c>
    </row>
    <row r="451" spans="1:17" x14ac:dyDescent="0.3">
      <c r="A451">
        <v>461</v>
      </c>
      <c r="B451" s="4">
        <v>40564</v>
      </c>
      <c r="C451">
        <v>1</v>
      </c>
      <c r="D451">
        <v>0</v>
      </c>
      <c r="E451">
        <v>1</v>
      </c>
      <c r="F451">
        <v>5</v>
      </c>
      <c r="G451" t="b">
        <v>0</v>
      </c>
      <c r="H451">
        <v>5</v>
      </c>
      <c r="I451">
        <v>1</v>
      </c>
      <c r="J451">
        <v>0.24</v>
      </c>
      <c r="K451">
        <v>461</v>
      </c>
      <c r="L451">
        <v>0.19700000000000001</v>
      </c>
      <c r="M451">
        <v>0.6</v>
      </c>
      <c r="N451">
        <v>0.41789999999999999</v>
      </c>
      <c r="O451">
        <v>1</v>
      </c>
      <c r="P451">
        <v>4</v>
      </c>
      <c r="Q451">
        <v>5</v>
      </c>
    </row>
    <row r="452" spans="1:17" x14ac:dyDescent="0.3">
      <c r="A452">
        <v>462</v>
      </c>
      <c r="B452" s="4">
        <v>40564</v>
      </c>
      <c r="C452">
        <v>1</v>
      </c>
      <c r="D452">
        <v>0</v>
      </c>
      <c r="E452">
        <v>1</v>
      </c>
      <c r="F452">
        <v>6</v>
      </c>
      <c r="G452" t="b">
        <v>0</v>
      </c>
      <c r="H452">
        <v>5</v>
      </c>
      <c r="I452">
        <v>1</v>
      </c>
      <c r="J452">
        <v>0.22</v>
      </c>
      <c r="K452">
        <v>462</v>
      </c>
      <c r="L452">
        <v>0.21210000000000001</v>
      </c>
      <c r="M452">
        <v>0.55000000000000004</v>
      </c>
      <c r="N452">
        <v>0.25369999999999998</v>
      </c>
      <c r="O452">
        <v>0</v>
      </c>
      <c r="P452">
        <v>27</v>
      </c>
      <c r="Q452">
        <v>27</v>
      </c>
    </row>
    <row r="453" spans="1:17" x14ac:dyDescent="0.3">
      <c r="A453">
        <v>463</v>
      </c>
      <c r="B453" s="4">
        <v>40564</v>
      </c>
      <c r="C453">
        <v>1</v>
      </c>
      <c r="D453">
        <v>0</v>
      </c>
      <c r="E453">
        <v>1</v>
      </c>
      <c r="F453">
        <v>7</v>
      </c>
      <c r="G453" t="b">
        <v>0</v>
      </c>
      <c r="H453">
        <v>5</v>
      </c>
      <c r="I453">
        <v>1</v>
      </c>
      <c r="J453">
        <v>0.2</v>
      </c>
      <c r="K453">
        <v>463</v>
      </c>
      <c r="L453">
        <v>0.18179999999999999</v>
      </c>
      <c r="M453">
        <v>0.51</v>
      </c>
      <c r="N453">
        <v>0.28360000000000002</v>
      </c>
      <c r="O453">
        <v>2</v>
      </c>
      <c r="P453">
        <v>66</v>
      </c>
      <c r="Q453">
        <v>68</v>
      </c>
    </row>
    <row r="454" spans="1:17" x14ac:dyDescent="0.3">
      <c r="A454">
        <v>464</v>
      </c>
      <c r="B454" s="4">
        <v>40564</v>
      </c>
      <c r="C454">
        <v>1</v>
      </c>
      <c r="D454">
        <v>0</v>
      </c>
      <c r="E454">
        <v>1</v>
      </c>
      <c r="F454">
        <v>8</v>
      </c>
      <c r="G454" t="b">
        <v>0</v>
      </c>
      <c r="H454">
        <v>5</v>
      </c>
      <c r="I454">
        <v>1</v>
      </c>
      <c r="J454">
        <v>0.2</v>
      </c>
      <c r="K454">
        <v>464</v>
      </c>
      <c r="L454">
        <v>0.18179999999999999</v>
      </c>
      <c r="M454">
        <v>0.47</v>
      </c>
      <c r="N454">
        <v>0.32840000000000003</v>
      </c>
      <c r="O454">
        <v>7</v>
      </c>
      <c r="P454">
        <v>210</v>
      </c>
      <c r="Q454">
        <v>217</v>
      </c>
    </row>
    <row r="455" spans="1:17" x14ac:dyDescent="0.3">
      <c r="A455">
        <v>465</v>
      </c>
      <c r="B455" s="4">
        <v>40564</v>
      </c>
      <c r="C455">
        <v>1</v>
      </c>
      <c r="D455">
        <v>0</v>
      </c>
      <c r="E455">
        <v>1</v>
      </c>
      <c r="F455">
        <v>9</v>
      </c>
      <c r="G455" t="b">
        <v>0</v>
      </c>
      <c r="H455">
        <v>5</v>
      </c>
      <c r="I455">
        <v>1</v>
      </c>
      <c r="J455">
        <v>0.2</v>
      </c>
      <c r="K455">
        <v>465</v>
      </c>
      <c r="L455">
        <v>0.18179999999999999</v>
      </c>
      <c r="M455">
        <v>0.51</v>
      </c>
      <c r="N455">
        <v>0.35820000000000002</v>
      </c>
      <c r="O455">
        <v>7</v>
      </c>
      <c r="P455">
        <v>159</v>
      </c>
      <c r="Q455">
        <v>166</v>
      </c>
    </row>
    <row r="456" spans="1:17" x14ac:dyDescent="0.3">
      <c r="A456">
        <v>466</v>
      </c>
      <c r="B456" s="4">
        <v>40564</v>
      </c>
      <c r="C456">
        <v>1</v>
      </c>
      <c r="D456">
        <v>0</v>
      </c>
      <c r="E456">
        <v>1</v>
      </c>
      <c r="F456">
        <v>10</v>
      </c>
      <c r="G456" t="b">
        <v>0</v>
      </c>
      <c r="H456">
        <v>5</v>
      </c>
      <c r="I456">
        <v>1</v>
      </c>
      <c r="J456">
        <v>0.2</v>
      </c>
      <c r="K456">
        <v>466</v>
      </c>
      <c r="L456">
        <v>0.16669999999999999</v>
      </c>
      <c r="M456">
        <v>0.47</v>
      </c>
      <c r="N456">
        <v>0.4627</v>
      </c>
      <c r="O456">
        <v>6</v>
      </c>
      <c r="P456">
        <v>57</v>
      </c>
      <c r="Q456">
        <v>63</v>
      </c>
    </row>
    <row r="457" spans="1:17" x14ac:dyDescent="0.3">
      <c r="A457">
        <v>467</v>
      </c>
      <c r="B457" s="4">
        <v>40564</v>
      </c>
      <c r="C457">
        <v>1</v>
      </c>
      <c r="D457">
        <v>0</v>
      </c>
      <c r="E457">
        <v>1</v>
      </c>
      <c r="F457">
        <v>11</v>
      </c>
      <c r="G457" t="b">
        <v>0</v>
      </c>
      <c r="H457">
        <v>5</v>
      </c>
      <c r="I457">
        <v>1</v>
      </c>
      <c r="J457">
        <v>0.22</v>
      </c>
      <c r="K457">
        <v>467</v>
      </c>
      <c r="L457">
        <v>0.18179999999999999</v>
      </c>
      <c r="M457">
        <v>0.41</v>
      </c>
      <c r="N457">
        <v>0.4627</v>
      </c>
      <c r="O457">
        <v>6</v>
      </c>
      <c r="P457">
        <v>53</v>
      </c>
      <c r="Q457">
        <v>59</v>
      </c>
    </row>
    <row r="458" spans="1:17" x14ac:dyDescent="0.3">
      <c r="A458">
        <v>468</v>
      </c>
      <c r="B458" s="4">
        <v>40564</v>
      </c>
      <c r="C458">
        <v>1</v>
      </c>
      <c r="D458">
        <v>0</v>
      </c>
      <c r="E458">
        <v>1</v>
      </c>
      <c r="F458">
        <v>12</v>
      </c>
      <c r="G458" t="b">
        <v>0</v>
      </c>
      <c r="H458">
        <v>5</v>
      </c>
      <c r="I458">
        <v>1</v>
      </c>
      <c r="J458">
        <v>0.22</v>
      </c>
      <c r="K458">
        <v>468</v>
      </c>
      <c r="L458">
        <v>0.18179999999999999</v>
      </c>
      <c r="M458">
        <v>0.27</v>
      </c>
      <c r="N458">
        <v>0.58209999999999995</v>
      </c>
      <c r="O458">
        <v>11</v>
      </c>
      <c r="P458">
        <v>67</v>
      </c>
      <c r="Q458">
        <v>78</v>
      </c>
    </row>
    <row r="459" spans="1:17" x14ac:dyDescent="0.3">
      <c r="A459">
        <v>469</v>
      </c>
      <c r="B459" s="4">
        <v>40564</v>
      </c>
      <c r="C459">
        <v>1</v>
      </c>
      <c r="D459">
        <v>0</v>
      </c>
      <c r="E459">
        <v>1</v>
      </c>
      <c r="F459">
        <v>13</v>
      </c>
      <c r="G459" t="b">
        <v>0</v>
      </c>
      <c r="H459">
        <v>5</v>
      </c>
      <c r="I459">
        <v>1</v>
      </c>
      <c r="J459">
        <v>0.2</v>
      </c>
      <c r="K459">
        <v>469</v>
      </c>
      <c r="L459">
        <v>0.1515</v>
      </c>
      <c r="M459">
        <v>0.21</v>
      </c>
      <c r="N459">
        <v>0.58209999999999995</v>
      </c>
      <c r="O459">
        <v>8</v>
      </c>
      <c r="P459">
        <v>65</v>
      </c>
      <c r="Q459">
        <v>73</v>
      </c>
    </row>
    <row r="460" spans="1:17" x14ac:dyDescent="0.3">
      <c r="A460">
        <v>470</v>
      </c>
      <c r="B460" s="4">
        <v>40564</v>
      </c>
      <c r="C460">
        <v>1</v>
      </c>
      <c r="D460">
        <v>0</v>
      </c>
      <c r="E460">
        <v>1</v>
      </c>
      <c r="F460">
        <v>14</v>
      </c>
      <c r="G460" t="b">
        <v>0</v>
      </c>
      <c r="H460">
        <v>5</v>
      </c>
      <c r="I460">
        <v>1</v>
      </c>
      <c r="J460">
        <v>0.2</v>
      </c>
      <c r="K460">
        <v>470</v>
      </c>
      <c r="L460">
        <v>0.1515</v>
      </c>
      <c r="M460">
        <v>0.25</v>
      </c>
      <c r="N460">
        <v>0.52239999999999998</v>
      </c>
      <c r="O460">
        <v>6</v>
      </c>
      <c r="P460">
        <v>56</v>
      </c>
      <c r="Q460">
        <v>62</v>
      </c>
    </row>
    <row r="461" spans="1:17" x14ac:dyDescent="0.3">
      <c r="A461">
        <v>471</v>
      </c>
      <c r="B461" s="4">
        <v>40564</v>
      </c>
      <c r="C461">
        <v>1</v>
      </c>
      <c r="D461">
        <v>0</v>
      </c>
      <c r="E461">
        <v>1</v>
      </c>
      <c r="F461">
        <v>15</v>
      </c>
      <c r="G461" t="b">
        <v>0</v>
      </c>
      <c r="H461">
        <v>5</v>
      </c>
      <c r="I461">
        <v>1</v>
      </c>
      <c r="J461">
        <v>0.16</v>
      </c>
      <c r="K461">
        <v>471</v>
      </c>
      <c r="L461">
        <v>0.1212</v>
      </c>
      <c r="M461">
        <v>0.26</v>
      </c>
      <c r="N461">
        <v>0.44779999999999998</v>
      </c>
      <c r="O461">
        <v>4</v>
      </c>
      <c r="P461">
        <v>61</v>
      </c>
      <c r="Q461">
        <v>65</v>
      </c>
    </row>
    <row r="462" spans="1:17" x14ac:dyDescent="0.3">
      <c r="A462">
        <v>472</v>
      </c>
      <c r="B462" s="4">
        <v>40564</v>
      </c>
      <c r="C462">
        <v>1</v>
      </c>
      <c r="D462">
        <v>0</v>
      </c>
      <c r="E462">
        <v>1</v>
      </c>
      <c r="F462">
        <v>16</v>
      </c>
      <c r="G462" t="b">
        <v>0</v>
      </c>
      <c r="H462">
        <v>5</v>
      </c>
      <c r="I462">
        <v>1</v>
      </c>
      <c r="J462">
        <v>0.16</v>
      </c>
      <c r="K462">
        <v>472</v>
      </c>
      <c r="L462">
        <v>0.13639999999999999</v>
      </c>
      <c r="M462">
        <v>0.26</v>
      </c>
      <c r="N462">
        <v>0.35820000000000002</v>
      </c>
      <c r="O462">
        <v>0</v>
      </c>
      <c r="P462">
        <v>97</v>
      </c>
      <c r="Q462">
        <v>97</v>
      </c>
    </row>
    <row r="463" spans="1:17" x14ac:dyDescent="0.3">
      <c r="A463">
        <v>473</v>
      </c>
      <c r="B463" s="4">
        <v>40564</v>
      </c>
      <c r="C463">
        <v>1</v>
      </c>
      <c r="D463">
        <v>0</v>
      </c>
      <c r="E463">
        <v>1</v>
      </c>
      <c r="F463">
        <v>17</v>
      </c>
      <c r="G463" t="b">
        <v>0</v>
      </c>
      <c r="H463">
        <v>5</v>
      </c>
      <c r="I463">
        <v>1</v>
      </c>
      <c r="J463">
        <v>0.14000000000000001</v>
      </c>
      <c r="K463">
        <v>473</v>
      </c>
      <c r="L463">
        <v>0.1212</v>
      </c>
      <c r="M463">
        <v>0.28000000000000003</v>
      </c>
      <c r="N463">
        <v>0.35820000000000002</v>
      </c>
      <c r="O463">
        <v>10</v>
      </c>
      <c r="P463">
        <v>151</v>
      </c>
      <c r="Q463">
        <v>161</v>
      </c>
    </row>
    <row r="464" spans="1:17" x14ac:dyDescent="0.3">
      <c r="A464">
        <v>474</v>
      </c>
      <c r="B464" s="4">
        <v>40564</v>
      </c>
      <c r="C464">
        <v>1</v>
      </c>
      <c r="D464">
        <v>0</v>
      </c>
      <c r="E464">
        <v>1</v>
      </c>
      <c r="F464">
        <v>18</v>
      </c>
      <c r="G464" t="b">
        <v>0</v>
      </c>
      <c r="H464">
        <v>5</v>
      </c>
      <c r="I464">
        <v>1</v>
      </c>
      <c r="J464">
        <v>0.12</v>
      </c>
      <c r="K464">
        <v>474</v>
      </c>
      <c r="L464">
        <v>0.1212</v>
      </c>
      <c r="M464">
        <v>0.3</v>
      </c>
      <c r="N464">
        <v>0.25369999999999998</v>
      </c>
      <c r="O464">
        <v>1</v>
      </c>
      <c r="P464">
        <v>119</v>
      </c>
      <c r="Q464">
        <v>120</v>
      </c>
    </row>
    <row r="465" spans="1:17" x14ac:dyDescent="0.3">
      <c r="A465">
        <v>475</v>
      </c>
      <c r="B465" s="4">
        <v>40564</v>
      </c>
      <c r="C465">
        <v>1</v>
      </c>
      <c r="D465">
        <v>0</v>
      </c>
      <c r="E465">
        <v>1</v>
      </c>
      <c r="F465">
        <v>19</v>
      </c>
      <c r="G465" t="b">
        <v>0</v>
      </c>
      <c r="H465">
        <v>5</v>
      </c>
      <c r="I465">
        <v>1</v>
      </c>
      <c r="J465">
        <v>0.12</v>
      </c>
      <c r="K465">
        <v>475</v>
      </c>
      <c r="L465">
        <v>0.1061</v>
      </c>
      <c r="M465">
        <v>0.3</v>
      </c>
      <c r="N465">
        <v>0.32840000000000003</v>
      </c>
      <c r="O465">
        <v>3</v>
      </c>
      <c r="P465">
        <v>93</v>
      </c>
      <c r="Q465">
        <v>96</v>
      </c>
    </row>
    <row r="466" spans="1:17" x14ac:dyDescent="0.3">
      <c r="A466">
        <v>476</v>
      </c>
      <c r="B466" s="4">
        <v>40564</v>
      </c>
      <c r="C466">
        <v>1</v>
      </c>
      <c r="D466">
        <v>0</v>
      </c>
      <c r="E466">
        <v>1</v>
      </c>
      <c r="F466">
        <v>20</v>
      </c>
      <c r="G466" t="b">
        <v>0</v>
      </c>
      <c r="H466">
        <v>5</v>
      </c>
      <c r="I466">
        <v>1</v>
      </c>
      <c r="J466">
        <v>0.1</v>
      </c>
      <c r="K466">
        <v>476</v>
      </c>
      <c r="L466">
        <v>7.5800000000000006E-2</v>
      </c>
      <c r="M466">
        <v>0.33</v>
      </c>
      <c r="N466">
        <v>0.41789999999999999</v>
      </c>
      <c r="O466">
        <v>1</v>
      </c>
      <c r="P466">
        <v>52</v>
      </c>
      <c r="Q466">
        <v>53</v>
      </c>
    </row>
    <row r="467" spans="1:17" x14ac:dyDescent="0.3">
      <c r="A467">
        <v>477</v>
      </c>
      <c r="B467" s="4">
        <v>40564</v>
      </c>
      <c r="C467">
        <v>1</v>
      </c>
      <c r="D467">
        <v>0</v>
      </c>
      <c r="E467">
        <v>1</v>
      </c>
      <c r="F467">
        <v>21</v>
      </c>
      <c r="G467" t="b">
        <v>0</v>
      </c>
      <c r="H467">
        <v>5</v>
      </c>
      <c r="I467">
        <v>1</v>
      </c>
      <c r="J467">
        <v>0.08</v>
      </c>
      <c r="K467">
        <v>477</v>
      </c>
      <c r="L467">
        <v>7.5800000000000006E-2</v>
      </c>
      <c r="M467">
        <v>0.38</v>
      </c>
      <c r="N467">
        <v>0.28360000000000002</v>
      </c>
      <c r="O467">
        <v>0</v>
      </c>
      <c r="P467">
        <v>41</v>
      </c>
      <c r="Q467">
        <v>41</v>
      </c>
    </row>
    <row r="468" spans="1:17" x14ac:dyDescent="0.3">
      <c r="A468">
        <v>478</v>
      </c>
      <c r="B468" s="4">
        <v>40564</v>
      </c>
      <c r="C468">
        <v>1</v>
      </c>
      <c r="D468">
        <v>0</v>
      </c>
      <c r="E468">
        <v>1</v>
      </c>
      <c r="F468">
        <v>22</v>
      </c>
      <c r="G468" t="b">
        <v>0</v>
      </c>
      <c r="H468">
        <v>5</v>
      </c>
      <c r="I468">
        <v>1</v>
      </c>
      <c r="J468">
        <v>0.06</v>
      </c>
      <c r="K468">
        <v>478</v>
      </c>
      <c r="L468">
        <v>3.0300000000000001E-2</v>
      </c>
      <c r="M468">
        <v>0.41</v>
      </c>
      <c r="N468">
        <v>0.3881</v>
      </c>
      <c r="O468">
        <v>1</v>
      </c>
      <c r="P468">
        <v>33</v>
      </c>
      <c r="Q468">
        <v>34</v>
      </c>
    </row>
    <row r="469" spans="1:17" x14ac:dyDescent="0.3">
      <c r="A469">
        <v>479</v>
      </c>
      <c r="B469" s="4">
        <v>40564</v>
      </c>
      <c r="C469">
        <v>1</v>
      </c>
      <c r="D469">
        <v>0</v>
      </c>
      <c r="E469">
        <v>1</v>
      </c>
      <c r="F469">
        <v>23</v>
      </c>
      <c r="G469" t="b">
        <v>0</v>
      </c>
      <c r="H469">
        <v>5</v>
      </c>
      <c r="I469">
        <v>1</v>
      </c>
      <c r="J469">
        <v>0.06</v>
      </c>
      <c r="K469">
        <v>479</v>
      </c>
      <c r="L469">
        <v>4.5499999999999999E-2</v>
      </c>
      <c r="M469">
        <v>0.38</v>
      </c>
      <c r="N469">
        <v>0.32840000000000003</v>
      </c>
      <c r="O469">
        <v>0</v>
      </c>
      <c r="P469">
        <v>27</v>
      </c>
      <c r="Q469">
        <v>27</v>
      </c>
    </row>
    <row r="470" spans="1:17" x14ac:dyDescent="0.3">
      <c r="A470">
        <v>480</v>
      </c>
      <c r="B470" s="4">
        <v>40565</v>
      </c>
      <c r="C470">
        <v>1</v>
      </c>
      <c r="D470">
        <v>0</v>
      </c>
      <c r="E470">
        <v>1</v>
      </c>
      <c r="F470">
        <v>0</v>
      </c>
      <c r="G470" t="b">
        <v>0</v>
      </c>
      <c r="H470">
        <v>6</v>
      </c>
      <c r="I470">
        <v>1</v>
      </c>
      <c r="J470">
        <v>0.04</v>
      </c>
      <c r="K470">
        <v>480</v>
      </c>
      <c r="L470">
        <v>3.0300000000000001E-2</v>
      </c>
      <c r="M470">
        <v>0.45</v>
      </c>
      <c r="N470">
        <v>0.25369999999999998</v>
      </c>
      <c r="O470">
        <v>0</v>
      </c>
      <c r="P470">
        <v>13</v>
      </c>
      <c r="Q470">
        <v>13</v>
      </c>
    </row>
    <row r="471" spans="1:17" x14ac:dyDescent="0.3">
      <c r="A471">
        <v>481</v>
      </c>
      <c r="B471" s="4">
        <v>40565</v>
      </c>
      <c r="C471">
        <v>1</v>
      </c>
      <c r="D471">
        <v>0</v>
      </c>
      <c r="E471">
        <v>1</v>
      </c>
      <c r="F471">
        <v>1</v>
      </c>
      <c r="G471" t="b">
        <v>0</v>
      </c>
      <c r="H471">
        <v>6</v>
      </c>
      <c r="I471">
        <v>2</v>
      </c>
      <c r="J471">
        <v>0.04</v>
      </c>
      <c r="K471">
        <v>481</v>
      </c>
      <c r="L471">
        <v>0</v>
      </c>
      <c r="M471">
        <v>0.41</v>
      </c>
      <c r="N471">
        <v>0.3881</v>
      </c>
      <c r="O471">
        <v>3</v>
      </c>
      <c r="P471">
        <v>9</v>
      </c>
      <c r="Q471">
        <v>12</v>
      </c>
    </row>
    <row r="472" spans="1:17" x14ac:dyDescent="0.3">
      <c r="A472">
        <v>482</v>
      </c>
      <c r="B472" s="4">
        <v>40565</v>
      </c>
      <c r="C472">
        <v>1</v>
      </c>
      <c r="D472">
        <v>0</v>
      </c>
      <c r="E472">
        <v>1</v>
      </c>
      <c r="F472">
        <v>2</v>
      </c>
      <c r="G472" t="b">
        <v>0</v>
      </c>
      <c r="H472">
        <v>6</v>
      </c>
      <c r="I472">
        <v>2</v>
      </c>
      <c r="J472">
        <v>0.04</v>
      </c>
      <c r="K472">
        <v>482</v>
      </c>
      <c r="L472">
        <v>3.0300000000000001E-2</v>
      </c>
      <c r="M472">
        <v>0.41</v>
      </c>
      <c r="N472">
        <v>0.25369999999999998</v>
      </c>
      <c r="O472">
        <v>0</v>
      </c>
      <c r="P472">
        <v>11</v>
      </c>
      <c r="Q472">
        <v>11</v>
      </c>
    </row>
    <row r="473" spans="1:17" x14ac:dyDescent="0.3">
      <c r="A473">
        <v>483</v>
      </c>
      <c r="B473" s="4">
        <v>40565</v>
      </c>
      <c r="C473">
        <v>1</v>
      </c>
      <c r="D473">
        <v>0</v>
      </c>
      <c r="E473">
        <v>1</v>
      </c>
      <c r="F473">
        <v>3</v>
      </c>
      <c r="G473" t="b">
        <v>0</v>
      </c>
      <c r="H473">
        <v>6</v>
      </c>
      <c r="I473">
        <v>2</v>
      </c>
      <c r="J473">
        <v>0.04</v>
      </c>
      <c r="K473">
        <v>483</v>
      </c>
      <c r="L473">
        <v>3.0300000000000001E-2</v>
      </c>
      <c r="M473">
        <v>0.41</v>
      </c>
      <c r="N473">
        <v>0.28360000000000002</v>
      </c>
      <c r="O473">
        <v>1</v>
      </c>
      <c r="P473">
        <v>6</v>
      </c>
      <c r="Q473">
        <v>7</v>
      </c>
    </row>
    <row r="474" spans="1:17" x14ac:dyDescent="0.3">
      <c r="A474">
        <v>484</v>
      </c>
      <c r="B474" s="4">
        <v>40565</v>
      </c>
      <c r="C474">
        <v>1</v>
      </c>
      <c r="D474">
        <v>0</v>
      </c>
      <c r="E474">
        <v>1</v>
      </c>
      <c r="F474">
        <v>4</v>
      </c>
      <c r="G474" t="b">
        <v>0</v>
      </c>
      <c r="H474">
        <v>6</v>
      </c>
      <c r="I474">
        <v>2</v>
      </c>
      <c r="J474">
        <v>0.02</v>
      </c>
      <c r="K474">
        <v>484</v>
      </c>
      <c r="L474">
        <v>1.52E-2</v>
      </c>
      <c r="M474">
        <v>0.48</v>
      </c>
      <c r="N474">
        <v>0.29849999999999999</v>
      </c>
      <c r="O474">
        <v>0</v>
      </c>
      <c r="P474">
        <v>3</v>
      </c>
      <c r="Q474">
        <v>3</v>
      </c>
    </row>
    <row r="475" spans="1:17" x14ac:dyDescent="0.3">
      <c r="A475">
        <v>485</v>
      </c>
      <c r="B475" s="4">
        <v>40565</v>
      </c>
      <c r="C475">
        <v>1</v>
      </c>
      <c r="D475">
        <v>0</v>
      </c>
      <c r="E475">
        <v>1</v>
      </c>
      <c r="F475">
        <v>6</v>
      </c>
      <c r="G475" t="b">
        <v>0</v>
      </c>
      <c r="H475">
        <v>6</v>
      </c>
      <c r="I475">
        <v>2</v>
      </c>
      <c r="J475">
        <v>0.02</v>
      </c>
      <c r="K475">
        <v>485</v>
      </c>
      <c r="L475">
        <v>3.0300000000000001E-2</v>
      </c>
      <c r="M475">
        <v>0.44</v>
      </c>
      <c r="N475">
        <v>0.22389999999999999</v>
      </c>
      <c r="O475">
        <v>0</v>
      </c>
      <c r="P475">
        <v>2</v>
      </c>
      <c r="Q475">
        <v>2</v>
      </c>
    </row>
    <row r="476" spans="1:17" x14ac:dyDescent="0.3">
      <c r="A476">
        <v>486</v>
      </c>
      <c r="B476" s="4">
        <v>40565</v>
      </c>
      <c r="C476">
        <v>1</v>
      </c>
      <c r="D476">
        <v>0</v>
      </c>
      <c r="E476">
        <v>1</v>
      </c>
      <c r="F476">
        <v>7</v>
      </c>
      <c r="G476" t="b">
        <v>0</v>
      </c>
      <c r="H476">
        <v>6</v>
      </c>
      <c r="I476">
        <v>1</v>
      </c>
      <c r="J476">
        <v>0.02</v>
      </c>
      <c r="K476">
        <v>486</v>
      </c>
      <c r="L476">
        <v>1.52E-2</v>
      </c>
      <c r="M476">
        <v>0.44</v>
      </c>
      <c r="N476">
        <v>0.28360000000000002</v>
      </c>
      <c r="O476">
        <v>0</v>
      </c>
      <c r="P476">
        <v>8</v>
      </c>
      <c r="Q476">
        <v>8</v>
      </c>
    </row>
    <row r="477" spans="1:17" x14ac:dyDescent="0.3">
      <c r="A477">
        <v>487</v>
      </c>
      <c r="B477" s="4">
        <v>40565</v>
      </c>
      <c r="C477">
        <v>1</v>
      </c>
      <c r="D477">
        <v>0</v>
      </c>
      <c r="E477">
        <v>1</v>
      </c>
      <c r="F477">
        <v>8</v>
      </c>
      <c r="G477" t="b">
        <v>0</v>
      </c>
      <c r="H477">
        <v>6</v>
      </c>
      <c r="I477">
        <v>1</v>
      </c>
      <c r="J477">
        <v>0.02</v>
      </c>
      <c r="K477">
        <v>487</v>
      </c>
      <c r="L477">
        <v>0</v>
      </c>
      <c r="M477">
        <v>0.44</v>
      </c>
      <c r="N477">
        <v>0.32840000000000003</v>
      </c>
      <c r="O477">
        <v>1</v>
      </c>
      <c r="P477">
        <v>26</v>
      </c>
      <c r="Q477">
        <v>27</v>
      </c>
    </row>
    <row r="478" spans="1:17" x14ac:dyDescent="0.3">
      <c r="A478">
        <v>488</v>
      </c>
      <c r="B478" s="4">
        <v>40565</v>
      </c>
      <c r="C478">
        <v>1</v>
      </c>
      <c r="D478">
        <v>0</v>
      </c>
      <c r="E478">
        <v>1</v>
      </c>
      <c r="F478">
        <v>9</v>
      </c>
      <c r="G478" t="b">
        <v>0</v>
      </c>
      <c r="H478">
        <v>6</v>
      </c>
      <c r="I478">
        <v>1</v>
      </c>
      <c r="J478">
        <v>0.04</v>
      </c>
      <c r="K478">
        <v>488</v>
      </c>
      <c r="L478">
        <v>3.0300000000000001E-2</v>
      </c>
      <c r="M478">
        <v>0.41</v>
      </c>
      <c r="N478">
        <v>0.25369999999999998</v>
      </c>
      <c r="O478">
        <v>3</v>
      </c>
      <c r="P478">
        <v>37</v>
      </c>
      <c r="Q478">
        <v>40</v>
      </c>
    </row>
    <row r="479" spans="1:17" x14ac:dyDescent="0.3">
      <c r="A479">
        <v>489</v>
      </c>
      <c r="B479" s="4">
        <v>40565</v>
      </c>
      <c r="C479">
        <v>1</v>
      </c>
      <c r="D479">
        <v>0</v>
      </c>
      <c r="E479">
        <v>1</v>
      </c>
      <c r="F479">
        <v>10</v>
      </c>
      <c r="G479" t="b">
        <v>0</v>
      </c>
      <c r="H479">
        <v>6</v>
      </c>
      <c r="I479">
        <v>2</v>
      </c>
      <c r="J479">
        <v>0.04</v>
      </c>
      <c r="K479">
        <v>489</v>
      </c>
      <c r="L479">
        <v>6.0600000000000001E-2</v>
      </c>
      <c r="M479">
        <v>0.41</v>
      </c>
      <c r="N479">
        <v>0.16420000000000001</v>
      </c>
      <c r="O479">
        <v>3</v>
      </c>
      <c r="P479">
        <v>50</v>
      </c>
      <c r="Q479">
        <v>53</v>
      </c>
    </row>
    <row r="480" spans="1:17" x14ac:dyDescent="0.3">
      <c r="A480">
        <v>490</v>
      </c>
      <c r="B480" s="4">
        <v>40565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6</v>
      </c>
      <c r="I480">
        <v>2</v>
      </c>
      <c r="J480">
        <v>0.06</v>
      </c>
      <c r="K480">
        <v>490</v>
      </c>
      <c r="L480">
        <v>7.5800000000000006E-2</v>
      </c>
      <c r="M480">
        <v>0.38</v>
      </c>
      <c r="N480">
        <v>0.1343</v>
      </c>
      <c r="O480">
        <v>4</v>
      </c>
      <c r="P480">
        <v>59</v>
      </c>
      <c r="Q480">
        <v>63</v>
      </c>
    </row>
    <row r="481" spans="1:17" x14ac:dyDescent="0.3">
      <c r="A481">
        <v>491</v>
      </c>
      <c r="B481" s="4">
        <v>40565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6</v>
      </c>
      <c r="I481">
        <v>2</v>
      </c>
      <c r="J481">
        <v>0.06</v>
      </c>
      <c r="K481">
        <v>491</v>
      </c>
      <c r="L481">
        <v>0.1061</v>
      </c>
      <c r="M481">
        <v>0.38</v>
      </c>
      <c r="N481">
        <v>0.1045</v>
      </c>
      <c r="O481">
        <v>10</v>
      </c>
      <c r="P481">
        <v>60</v>
      </c>
      <c r="Q481">
        <v>70</v>
      </c>
    </row>
    <row r="482" spans="1:17" x14ac:dyDescent="0.3">
      <c r="A482">
        <v>492</v>
      </c>
      <c r="B482" s="4">
        <v>40565</v>
      </c>
      <c r="C482">
        <v>1</v>
      </c>
      <c r="D482">
        <v>0</v>
      </c>
      <c r="E482">
        <v>1</v>
      </c>
      <c r="F482">
        <v>13</v>
      </c>
      <c r="G482" t="b">
        <v>0</v>
      </c>
      <c r="H482">
        <v>6</v>
      </c>
      <c r="I482">
        <v>1</v>
      </c>
      <c r="J482">
        <v>0.08</v>
      </c>
      <c r="K482">
        <v>492</v>
      </c>
      <c r="L482">
        <v>0.16669999999999999</v>
      </c>
      <c r="M482">
        <v>0.35</v>
      </c>
      <c r="N482">
        <v>0</v>
      </c>
      <c r="O482">
        <v>12</v>
      </c>
      <c r="P482">
        <v>72</v>
      </c>
      <c r="Q482">
        <v>84</v>
      </c>
    </row>
    <row r="483" spans="1:17" x14ac:dyDescent="0.3">
      <c r="A483">
        <v>493</v>
      </c>
      <c r="B483" s="4">
        <v>40565</v>
      </c>
      <c r="C483">
        <v>1</v>
      </c>
      <c r="D483">
        <v>0</v>
      </c>
      <c r="E483">
        <v>1</v>
      </c>
      <c r="F483">
        <v>14</v>
      </c>
      <c r="G483" t="b">
        <v>0</v>
      </c>
      <c r="H483">
        <v>6</v>
      </c>
      <c r="I483">
        <v>1</v>
      </c>
      <c r="J483">
        <v>0.1</v>
      </c>
      <c r="K483">
        <v>493</v>
      </c>
      <c r="L483">
        <v>0.13639999999999999</v>
      </c>
      <c r="M483">
        <v>0.33</v>
      </c>
      <c r="N483">
        <v>0.1045</v>
      </c>
      <c r="O483">
        <v>11</v>
      </c>
      <c r="P483">
        <v>64</v>
      </c>
      <c r="Q483">
        <v>75</v>
      </c>
    </row>
    <row r="484" spans="1:17" x14ac:dyDescent="0.3">
      <c r="A484">
        <v>494</v>
      </c>
      <c r="B484" s="4">
        <v>40565</v>
      </c>
      <c r="C484">
        <v>1</v>
      </c>
      <c r="D484">
        <v>0</v>
      </c>
      <c r="E484">
        <v>1</v>
      </c>
      <c r="F484">
        <v>15</v>
      </c>
      <c r="G484" t="b">
        <v>0</v>
      </c>
      <c r="H484">
        <v>6</v>
      </c>
      <c r="I484">
        <v>1</v>
      </c>
      <c r="J484">
        <v>0.12</v>
      </c>
      <c r="K484">
        <v>494</v>
      </c>
      <c r="L484">
        <v>0.1515</v>
      </c>
      <c r="M484">
        <v>0.28000000000000003</v>
      </c>
      <c r="N484">
        <v>0</v>
      </c>
      <c r="O484">
        <v>10</v>
      </c>
      <c r="P484">
        <v>93</v>
      </c>
      <c r="Q484">
        <v>103</v>
      </c>
    </row>
    <row r="485" spans="1:17" x14ac:dyDescent="0.3">
      <c r="A485">
        <v>495</v>
      </c>
      <c r="B485" s="4">
        <v>40565</v>
      </c>
      <c r="C485">
        <v>1</v>
      </c>
      <c r="D485">
        <v>0</v>
      </c>
      <c r="E485">
        <v>1</v>
      </c>
      <c r="F485">
        <v>16</v>
      </c>
      <c r="G485" t="b">
        <v>0</v>
      </c>
      <c r="H485">
        <v>6</v>
      </c>
      <c r="I485">
        <v>1</v>
      </c>
      <c r="J485">
        <v>0.12</v>
      </c>
      <c r="K485">
        <v>495</v>
      </c>
      <c r="L485">
        <v>0.13639999999999999</v>
      </c>
      <c r="M485">
        <v>0.28000000000000003</v>
      </c>
      <c r="N485">
        <v>0.19400000000000001</v>
      </c>
      <c r="O485">
        <v>11</v>
      </c>
      <c r="P485">
        <v>72</v>
      </c>
      <c r="Q485">
        <v>83</v>
      </c>
    </row>
    <row r="486" spans="1:17" x14ac:dyDescent="0.3">
      <c r="A486">
        <v>496</v>
      </c>
      <c r="B486" s="4">
        <v>40565</v>
      </c>
      <c r="C486">
        <v>1</v>
      </c>
      <c r="D486">
        <v>0</v>
      </c>
      <c r="E486">
        <v>1</v>
      </c>
      <c r="F486">
        <v>17</v>
      </c>
      <c r="G486" t="b">
        <v>0</v>
      </c>
      <c r="H486">
        <v>6</v>
      </c>
      <c r="I486">
        <v>1</v>
      </c>
      <c r="J486">
        <v>0.12</v>
      </c>
      <c r="K486">
        <v>496</v>
      </c>
      <c r="L486">
        <v>0.19700000000000001</v>
      </c>
      <c r="M486">
        <v>0.28000000000000003</v>
      </c>
      <c r="N486">
        <v>0</v>
      </c>
      <c r="O486">
        <v>8</v>
      </c>
      <c r="P486">
        <v>59</v>
      </c>
      <c r="Q486">
        <v>67</v>
      </c>
    </row>
    <row r="487" spans="1:17" x14ac:dyDescent="0.3">
      <c r="A487">
        <v>497</v>
      </c>
      <c r="B487" s="4">
        <v>40565</v>
      </c>
      <c r="C487">
        <v>1</v>
      </c>
      <c r="D487">
        <v>0</v>
      </c>
      <c r="E487">
        <v>1</v>
      </c>
      <c r="F487">
        <v>18</v>
      </c>
      <c r="G487" t="b">
        <v>0</v>
      </c>
      <c r="H487">
        <v>6</v>
      </c>
      <c r="I487">
        <v>1</v>
      </c>
      <c r="J487">
        <v>0.08</v>
      </c>
      <c r="K487">
        <v>497</v>
      </c>
      <c r="L487">
        <v>9.0899999999999995E-2</v>
      </c>
      <c r="M487">
        <v>0.35</v>
      </c>
      <c r="N487">
        <v>0.19400000000000001</v>
      </c>
      <c r="O487">
        <v>0</v>
      </c>
      <c r="P487">
        <v>54</v>
      </c>
      <c r="Q487">
        <v>54</v>
      </c>
    </row>
    <row r="488" spans="1:17" x14ac:dyDescent="0.3">
      <c r="A488">
        <v>498</v>
      </c>
      <c r="B488" s="4">
        <v>40565</v>
      </c>
      <c r="C488">
        <v>1</v>
      </c>
      <c r="D488">
        <v>0</v>
      </c>
      <c r="E488">
        <v>1</v>
      </c>
      <c r="F488">
        <v>19</v>
      </c>
      <c r="G488" t="b">
        <v>0</v>
      </c>
      <c r="H488">
        <v>6</v>
      </c>
      <c r="I488">
        <v>1</v>
      </c>
      <c r="J488">
        <v>0.08</v>
      </c>
      <c r="K488">
        <v>498</v>
      </c>
      <c r="L488">
        <v>0.1061</v>
      </c>
      <c r="M488">
        <v>0.35</v>
      </c>
      <c r="N488">
        <v>0.1343</v>
      </c>
      <c r="O488">
        <v>6</v>
      </c>
      <c r="P488">
        <v>53</v>
      </c>
      <c r="Q488">
        <v>59</v>
      </c>
    </row>
    <row r="489" spans="1:17" x14ac:dyDescent="0.3">
      <c r="A489">
        <v>499</v>
      </c>
      <c r="B489" s="4">
        <v>40565</v>
      </c>
      <c r="C489">
        <v>1</v>
      </c>
      <c r="D489">
        <v>0</v>
      </c>
      <c r="E489">
        <v>1</v>
      </c>
      <c r="F489">
        <v>20</v>
      </c>
      <c r="G489" t="b">
        <v>0</v>
      </c>
      <c r="H489">
        <v>6</v>
      </c>
      <c r="I489">
        <v>1</v>
      </c>
      <c r="J489">
        <v>0.06</v>
      </c>
      <c r="K489">
        <v>499</v>
      </c>
      <c r="L489">
        <v>7.5800000000000006E-2</v>
      </c>
      <c r="M489">
        <v>0.45</v>
      </c>
      <c r="N489">
        <v>0.16420000000000001</v>
      </c>
      <c r="O489">
        <v>1</v>
      </c>
      <c r="P489">
        <v>44</v>
      </c>
      <c r="Q489">
        <v>45</v>
      </c>
    </row>
    <row r="490" spans="1:17" x14ac:dyDescent="0.3">
      <c r="A490">
        <v>500</v>
      </c>
      <c r="B490" s="4">
        <v>40565</v>
      </c>
      <c r="C490">
        <v>1</v>
      </c>
      <c r="D490">
        <v>0</v>
      </c>
      <c r="E490">
        <v>1</v>
      </c>
      <c r="F490">
        <v>21</v>
      </c>
      <c r="G490" t="b">
        <v>0</v>
      </c>
      <c r="H490">
        <v>6</v>
      </c>
      <c r="I490">
        <v>1</v>
      </c>
      <c r="J490">
        <v>0.06</v>
      </c>
      <c r="K490">
        <v>500</v>
      </c>
      <c r="L490">
        <v>0.1061</v>
      </c>
      <c r="M490">
        <v>0.41</v>
      </c>
      <c r="N490">
        <v>8.9599999999999999E-2</v>
      </c>
      <c r="O490">
        <v>0</v>
      </c>
      <c r="P490">
        <v>39</v>
      </c>
      <c r="Q490">
        <v>39</v>
      </c>
    </row>
    <row r="491" spans="1:17" x14ac:dyDescent="0.3">
      <c r="A491">
        <v>501</v>
      </c>
      <c r="B491" s="4">
        <v>40565</v>
      </c>
      <c r="C491">
        <v>1</v>
      </c>
      <c r="D491">
        <v>0</v>
      </c>
      <c r="E491">
        <v>1</v>
      </c>
      <c r="F491">
        <v>22</v>
      </c>
      <c r="G491" t="b">
        <v>0</v>
      </c>
      <c r="H491">
        <v>6</v>
      </c>
      <c r="I491">
        <v>1</v>
      </c>
      <c r="J491">
        <v>0.06</v>
      </c>
      <c r="K491">
        <v>501</v>
      </c>
      <c r="L491">
        <v>0.1515</v>
      </c>
      <c r="M491">
        <v>0.49</v>
      </c>
      <c r="N491">
        <v>0</v>
      </c>
      <c r="O491">
        <v>7</v>
      </c>
      <c r="P491">
        <v>23</v>
      </c>
      <c r="Q491">
        <v>30</v>
      </c>
    </row>
    <row r="492" spans="1:17" x14ac:dyDescent="0.3">
      <c r="A492">
        <v>502</v>
      </c>
      <c r="B492" s="4">
        <v>40565</v>
      </c>
      <c r="C492">
        <v>1</v>
      </c>
      <c r="D492">
        <v>0</v>
      </c>
      <c r="E492">
        <v>1</v>
      </c>
      <c r="F492">
        <v>23</v>
      </c>
      <c r="G492" t="b">
        <v>0</v>
      </c>
      <c r="H492">
        <v>6</v>
      </c>
      <c r="I492">
        <v>1</v>
      </c>
      <c r="J492">
        <v>0.04</v>
      </c>
      <c r="K492">
        <v>502</v>
      </c>
      <c r="L492">
        <v>7.5800000000000006E-2</v>
      </c>
      <c r="M492">
        <v>0.56999999999999995</v>
      </c>
      <c r="N492">
        <v>0.1045</v>
      </c>
      <c r="O492">
        <v>2</v>
      </c>
      <c r="P492">
        <v>31</v>
      </c>
      <c r="Q492">
        <v>33</v>
      </c>
    </row>
    <row r="493" spans="1:17" x14ac:dyDescent="0.3">
      <c r="A493">
        <v>503</v>
      </c>
      <c r="B493" s="4">
        <v>40566</v>
      </c>
      <c r="C493">
        <v>1</v>
      </c>
      <c r="D493">
        <v>0</v>
      </c>
      <c r="E493">
        <v>1</v>
      </c>
      <c r="F493">
        <v>0</v>
      </c>
      <c r="G493" t="b">
        <v>0</v>
      </c>
      <c r="H493">
        <v>0</v>
      </c>
      <c r="I493">
        <v>1</v>
      </c>
      <c r="J493">
        <v>0.04</v>
      </c>
      <c r="K493">
        <v>503</v>
      </c>
      <c r="L493">
        <v>7.5800000000000006E-2</v>
      </c>
      <c r="M493">
        <v>0.56999999999999995</v>
      </c>
      <c r="N493">
        <v>0.1045</v>
      </c>
      <c r="O493">
        <v>2</v>
      </c>
      <c r="P493">
        <v>20</v>
      </c>
      <c r="Q493">
        <v>22</v>
      </c>
    </row>
    <row r="494" spans="1:17" x14ac:dyDescent="0.3">
      <c r="A494">
        <v>504</v>
      </c>
      <c r="B494" s="4">
        <v>40566</v>
      </c>
      <c r="C494">
        <v>1</v>
      </c>
      <c r="D494">
        <v>0</v>
      </c>
      <c r="E494">
        <v>1</v>
      </c>
      <c r="F494">
        <v>1</v>
      </c>
      <c r="G494" t="b">
        <v>0</v>
      </c>
      <c r="H494">
        <v>0</v>
      </c>
      <c r="I494">
        <v>1</v>
      </c>
      <c r="J494">
        <v>0.04</v>
      </c>
      <c r="K494">
        <v>504</v>
      </c>
      <c r="L494">
        <v>7.5800000000000006E-2</v>
      </c>
      <c r="M494">
        <v>0.56999999999999995</v>
      </c>
      <c r="N494">
        <v>0.1045</v>
      </c>
      <c r="O494">
        <v>1</v>
      </c>
      <c r="P494">
        <v>12</v>
      </c>
      <c r="Q494">
        <v>13</v>
      </c>
    </row>
    <row r="495" spans="1:17" x14ac:dyDescent="0.3">
      <c r="A495">
        <v>505</v>
      </c>
      <c r="B495" s="4">
        <v>40566</v>
      </c>
      <c r="C495">
        <v>1</v>
      </c>
      <c r="D495">
        <v>0</v>
      </c>
      <c r="E495">
        <v>1</v>
      </c>
      <c r="F495">
        <v>2</v>
      </c>
      <c r="G495" t="b">
        <v>0</v>
      </c>
      <c r="H495">
        <v>0</v>
      </c>
      <c r="I495">
        <v>1</v>
      </c>
      <c r="J495">
        <v>0.02</v>
      </c>
      <c r="K495">
        <v>505</v>
      </c>
      <c r="L495">
        <v>6.0600000000000001E-2</v>
      </c>
      <c r="M495">
        <v>0.62</v>
      </c>
      <c r="N495">
        <v>0.1343</v>
      </c>
      <c r="O495">
        <v>3</v>
      </c>
      <c r="P495">
        <v>15</v>
      </c>
      <c r="Q495">
        <v>18</v>
      </c>
    </row>
    <row r="496" spans="1:17" x14ac:dyDescent="0.3">
      <c r="A496">
        <v>506</v>
      </c>
      <c r="B496" s="4">
        <v>40566</v>
      </c>
      <c r="C496">
        <v>1</v>
      </c>
      <c r="D496">
        <v>0</v>
      </c>
      <c r="E496">
        <v>1</v>
      </c>
      <c r="F496">
        <v>3</v>
      </c>
      <c r="G496" t="b">
        <v>0</v>
      </c>
      <c r="H496">
        <v>0</v>
      </c>
      <c r="I496">
        <v>1</v>
      </c>
      <c r="J496">
        <v>0.02</v>
      </c>
      <c r="K496">
        <v>506</v>
      </c>
      <c r="L496">
        <v>6.0600000000000001E-2</v>
      </c>
      <c r="M496">
        <v>0.62</v>
      </c>
      <c r="N496">
        <v>0.1343</v>
      </c>
      <c r="O496">
        <v>1</v>
      </c>
      <c r="P496">
        <v>4</v>
      </c>
      <c r="Q496">
        <v>5</v>
      </c>
    </row>
    <row r="497" spans="1:17" x14ac:dyDescent="0.3">
      <c r="A497">
        <v>507</v>
      </c>
      <c r="B497" s="4">
        <v>40566</v>
      </c>
      <c r="C497">
        <v>1</v>
      </c>
      <c r="D497">
        <v>0</v>
      </c>
      <c r="E497">
        <v>1</v>
      </c>
      <c r="F497">
        <v>5</v>
      </c>
      <c r="G497" t="b">
        <v>0</v>
      </c>
      <c r="H497">
        <v>0</v>
      </c>
      <c r="I497">
        <v>2</v>
      </c>
      <c r="J497">
        <v>0.04</v>
      </c>
      <c r="K497">
        <v>507</v>
      </c>
      <c r="L497">
        <v>7.5800000000000006E-2</v>
      </c>
      <c r="M497">
        <v>0.56999999999999995</v>
      </c>
      <c r="N497">
        <v>0.1045</v>
      </c>
      <c r="O497">
        <v>0</v>
      </c>
      <c r="P497">
        <v>3</v>
      </c>
      <c r="Q497">
        <v>3</v>
      </c>
    </row>
    <row r="498" spans="1:17" x14ac:dyDescent="0.3">
      <c r="A498">
        <v>508</v>
      </c>
      <c r="B498" s="4">
        <v>40566</v>
      </c>
      <c r="C498">
        <v>1</v>
      </c>
      <c r="D498">
        <v>0</v>
      </c>
      <c r="E498">
        <v>1</v>
      </c>
      <c r="F498">
        <v>6</v>
      </c>
      <c r="G498" t="b">
        <v>0</v>
      </c>
      <c r="H498">
        <v>0</v>
      </c>
      <c r="I498">
        <v>2</v>
      </c>
      <c r="J498">
        <v>0.04</v>
      </c>
      <c r="K498">
        <v>508</v>
      </c>
      <c r="L498">
        <v>7.5800000000000006E-2</v>
      </c>
      <c r="M498">
        <v>0.56999999999999995</v>
      </c>
      <c r="N498">
        <v>0.1045</v>
      </c>
      <c r="O498">
        <v>0</v>
      </c>
      <c r="P498">
        <v>1</v>
      </c>
      <c r="Q498">
        <v>1</v>
      </c>
    </row>
    <row r="499" spans="1:17" x14ac:dyDescent="0.3">
      <c r="A499">
        <v>509</v>
      </c>
      <c r="B499" s="4">
        <v>40566</v>
      </c>
      <c r="C499">
        <v>1</v>
      </c>
      <c r="D499">
        <v>0</v>
      </c>
      <c r="E499">
        <v>1</v>
      </c>
      <c r="F499">
        <v>7</v>
      </c>
      <c r="G499" t="b">
        <v>0</v>
      </c>
      <c r="H499">
        <v>0</v>
      </c>
      <c r="I499">
        <v>1</v>
      </c>
      <c r="J499">
        <v>0.08</v>
      </c>
      <c r="K499">
        <v>509</v>
      </c>
      <c r="L499">
        <v>0.1061</v>
      </c>
      <c r="M499">
        <v>0.57999999999999996</v>
      </c>
      <c r="N499">
        <v>0.16420000000000001</v>
      </c>
      <c r="O499">
        <v>1</v>
      </c>
      <c r="P499">
        <v>1</v>
      </c>
      <c r="Q499">
        <v>2</v>
      </c>
    </row>
    <row r="500" spans="1:17" x14ac:dyDescent="0.3">
      <c r="A500">
        <v>510</v>
      </c>
      <c r="B500" s="4">
        <v>40566</v>
      </c>
      <c r="C500">
        <v>1</v>
      </c>
      <c r="D500">
        <v>0</v>
      </c>
      <c r="E500">
        <v>1</v>
      </c>
      <c r="F500">
        <v>8</v>
      </c>
      <c r="G500" t="b">
        <v>0</v>
      </c>
      <c r="H500">
        <v>0</v>
      </c>
      <c r="I500">
        <v>1</v>
      </c>
      <c r="J500">
        <v>0.06</v>
      </c>
      <c r="K500">
        <v>510</v>
      </c>
      <c r="L500">
        <v>7.5800000000000006E-2</v>
      </c>
      <c r="M500">
        <v>0.62</v>
      </c>
      <c r="N500">
        <v>0.16420000000000001</v>
      </c>
      <c r="O500">
        <v>2</v>
      </c>
      <c r="P500">
        <v>17</v>
      </c>
      <c r="Q500">
        <v>19</v>
      </c>
    </row>
    <row r="501" spans="1:17" x14ac:dyDescent="0.3">
      <c r="A501">
        <v>511</v>
      </c>
      <c r="B501" s="4">
        <v>40566</v>
      </c>
      <c r="C501">
        <v>1</v>
      </c>
      <c r="D501">
        <v>0</v>
      </c>
      <c r="E501">
        <v>1</v>
      </c>
      <c r="F501">
        <v>9</v>
      </c>
      <c r="G501" t="b">
        <v>0</v>
      </c>
      <c r="H501">
        <v>0</v>
      </c>
      <c r="I501">
        <v>1</v>
      </c>
      <c r="J501">
        <v>0.1</v>
      </c>
      <c r="K501">
        <v>511</v>
      </c>
      <c r="L501">
        <v>7.5800000000000006E-2</v>
      </c>
      <c r="M501">
        <v>0.54</v>
      </c>
      <c r="N501">
        <v>0.35820000000000002</v>
      </c>
      <c r="O501">
        <v>3</v>
      </c>
      <c r="P501">
        <v>25</v>
      </c>
      <c r="Q501">
        <v>28</v>
      </c>
    </row>
    <row r="502" spans="1:17" x14ac:dyDescent="0.3">
      <c r="A502">
        <v>512</v>
      </c>
      <c r="B502" s="4">
        <v>40566</v>
      </c>
      <c r="C502">
        <v>1</v>
      </c>
      <c r="D502">
        <v>0</v>
      </c>
      <c r="E502">
        <v>1</v>
      </c>
      <c r="F502">
        <v>10</v>
      </c>
      <c r="G502" t="b">
        <v>0</v>
      </c>
      <c r="H502">
        <v>0</v>
      </c>
      <c r="I502">
        <v>1</v>
      </c>
      <c r="J502">
        <v>0.14000000000000001</v>
      </c>
      <c r="K502">
        <v>512</v>
      </c>
      <c r="L502">
        <v>0.1061</v>
      </c>
      <c r="M502">
        <v>0.46</v>
      </c>
      <c r="N502">
        <v>0.3881</v>
      </c>
      <c r="O502">
        <v>7</v>
      </c>
      <c r="P502">
        <v>51</v>
      </c>
      <c r="Q502">
        <v>58</v>
      </c>
    </row>
    <row r="503" spans="1:17" x14ac:dyDescent="0.3">
      <c r="A503">
        <v>513</v>
      </c>
      <c r="B503" s="4">
        <v>40566</v>
      </c>
      <c r="C503">
        <v>1</v>
      </c>
      <c r="D503">
        <v>0</v>
      </c>
      <c r="E503">
        <v>1</v>
      </c>
      <c r="F503">
        <v>11</v>
      </c>
      <c r="G503" t="b">
        <v>0</v>
      </c>
      <c r="H503">
        <v>0</v>
      </c>
      <c r="I503">
        <v>1</v>
      </c>
      <c r="J503">
        <v>0.14000000000000001</v>
      </c>
      <c r="K503">
        <v>513</v>
      </c>
      <c r="L503">
        <v>0.13639999999999999</v>
      </c>
      <c r="M503">
        <v>0.43</v>
      </c>
      <c r="N503">
        <v>0.22389999999999999</v>
      </c>
      <c r="O503">
        <v>22</v>
      </c>
      <c r="P503">
        <v>77</v>
      </c>
      <c r="Q503">
        <v>99</v>
      </c>
    </row>
    <row r="504" spans="1:17" x14ac:dyDescent="0.3">
      <c r="A504">
        <v>514</v>
      </c>
      <c r="B504" s="4">
        <v>40566</v>
      </c>
      <c r="C504">
        <v>1</v>
      </c>
      <c r="D504">
        <v>0</v>
      </c>
      <c r="E504">
        <v>1</v>
      </c>
      <c r="F504">
        <v>12</v>
      </c>
      <c r="G504" t="b">
        <v>0</v>
      </c>
      <c r="H504">
        <v>0</v>
      </c>
      <c r="I504">
        <v>1</v>
      </c>
      <c r="J504">
        <v>0.16</v>
      </c>
      <c r="K504">
        <v>514</v>
      </c>
      <c r="L504">
        <v>0.1212</v>
      </c>
      <c r="M504">
        <v>0.37</v>
      </c>
      <c r="N504">
        <v>0.4627</v>
      </c>
      <c r="O504">
        <v>24</v>
      </c>
      <c r="P504">
        <v>92</v>
      </c>
      <c r="Q504">
        <v>116</v>
      </c>
    </row>
    <row r="505" spans="1:17" x14ac:dyDescent="0.3">
      <c r="A505">
        <v>515</v>
      </c>
      <c r="B505" s="4">
        <v>40566</v>
      </c>
      <c r="C505">
        <v>1</v>
      </c>
      <c r="D505">
        <v>0</v>
      </c>
      <c r="E505">
        <v>1</v>
      </c>
      <c r="F505">
        <v>13</v>
      </c>
      <c r="G505" t="b">
        <v>0</v>
      </c>
      <c r="H505">
        <v>0</v>
      </c>
      <c r="I505">
        <v>1</v>
      </c>
      <c r="J505">
        <v>0.14000000000000001</v>
      </c>
      <c r="K505">
        <v>515</v>
      </c>
      <c r="L505">
        <v>0.1061</v>
      </c>
      <c r="M505">
        <v>0.33</v>
      </c>
      <c r="N505">
        <v>0.3881</v>
      </c>
      <c r="O505">
        <v>12</v>
      </c>
      <c r="P505">
        <v>75</v>
      </c>
      <c r="Q505">
        <v>87</v>
      </c>
    </row>
    <row r="506" spans="1:17" x14ac:dyDescent="0.3">
      <c r="A506">
        <v>516</v>
      </c>
      <c r="B506" s="4">
        <v>40566</v>
      </c>
      <c r="C506">
        <v>1</v>
      </c>
      <c r="D506">
        <v>0</v>
      </c>
      <c r="E506">
        <v>1</v>
      </c>
      <c r="F506">
        <v>14</v>
      </c>
      <c r="G506" t="b">
        <v>0</v>
      </c>
      <c r="H506">
        <v>0</v>
      </c>
      <c r="I506">
        <v>1</v>
      </c>
      <c r="J506">
        <v>0.16</v>
      </c>
      <c r="K506">
        <v>516</v>
      </c>
      <c r="L506">
        <v>0.13639999999999999</v>
      </c>
      <c r="M506">
        <v>0.28000000000000003</v>
      </c>
      <c r="N506">
        <v>0.35820000000000002</v>
      </c>
      <c r="O506">
        <v>17</v>
      </c>
      <c r="P506">
        <v>93</v>
      </c>
      <c r="Q506">
        <v>110</v>
      </c>
    </row>
    <row r="507" spans="1:17" x14ac:dyDescent="0.3">
      <c r="A507">
        <v>517</v>
      </c>
      <c r="B507" s="4">
        <v>40566</v>
      </c>
      <c r="C507">
        <v>1</v>
      </c>
      <c r="D507">
        <v>0</v>
      </c>
      <c r="E507">
        <v>1</v>
      </c>
      <c r="F507">
        <v>15</v>
      </c>
      <c r="G507" t="b">
        <v>0</v>
      </c>
      <c r="H507">
        <v>0</v>
      </c>
      <c r="I507">
        <v>1</v>
      </c>
      <c r="J507">
        <v>0.16</v>
      </c>
      <c r="K507">
        <v>517</v>
      </c>
      <c r="L507">
        <v>0.13639999999999999</v>
      </c>
      <c r="M507">
        <v>0.28000000000000003</v>
      </c>
      <c r="N507">
        <v>0.35820000000000002</v>
      </c>
      <c r="O507">
        <v>13</v>
      </c>
      <c r="P507">
        <v>64</v>
      </c>
      <c r="Q507">
        <v>77</v>
      </c>
    </row>
    <row r="508" spans="1:17" x14ac:dyDescent="0.3">
      <c r="A508">
        <v>518</v>
      </c>
      <c r="B508" s="4">
        <v>40566</v>
      </c>
      <c r="C508">
        <v>1</v>
      </c>
      <c r="D508">
        <v>0</v>
      </c>
      <c r="E508">
        <v>1</v>
      </c>
      <c r="F508">
        <v>16</v>
      </c>
      <c r="G508" t="b">
        <v>0</v>
      </c>
      <c r="H508">
        <v>0</v>
      </c>
      <c r="I508">
        <v>1</v>
      </c>
      <c r="J508">
        <v>0.16</v>
      </c>
      <c r="K508">
        <v>518</v>
      </c>
      <c r="L508">
        <v>0.13639999999999999</v>
      </c>
      <c r="M508">
        <v>0.26</v>
      </c>
      <c r="N508">
        <v>0.32840000000000003</v>
      </c>
      <c r="O508">
        <v>9</v>
      </c>
      <c r="P508">
        <v>56</v>
      </c>
      <c r="Q508">
        <v>65</v>
      </c>
    </row>
    <row r="509" spans="1:17" x14ac:dyDescent="0.3">
      <c r="A509">
        <v>519</v>
      </c>
      <c r="B509" s="4">
        <v>40566</v>
      </c>
      <c r="C509">
        <v>1</v>
      </c>
      <c r="D509">
        <v>0</v>
      </c>
      <c r="E509">
        <v>1</v>
      </c>
      <c r="F509">
        <v>17</v>
      </c>
      <c r="G509" t="b">
        <v>0</v>
      </c>
      <c r="H509">
        <v>0</v>
      </c>
      <c r="I509">
        <v>1</v>
      </c>
      <c r="J509">
        <v>0.14000000000000001</v>
      </c>
      <c r="K509">
        <v>519</v>
      </c>
      <c r="L509">
        <v>0.1061</v>
      </c>
      <c r="M509">
        <v>0.26</v>
      </c>
      <c r="N509">
        <v>0.3881</v>
      </c>
      <c r="O509">
        <v>5</v>
      </c>
      <c r="P509">
        <v>50</v>
      </c>
      <c r="Q509">
        <v>55</v>
      </c>
    </row>
    <row r="510" spans="1:17" x14ac:dyDescent="0.3">
      <c r="A510">
        <v>520</v>
      </c>
      <c r="B510" s="4">
        <v>40566</v>
      </c>
      <c r="C510">
        <v>1</v>
      </c>
      <c r="D510">
        <v>0</v>
      </c>
      <c r="E510">
        <v>1</v>
      </c>
      <c r="F510">
        <v>18</v>
      </c>
      <c r="G510" t="b">
        <v>0</v>
      </c>
      <c r="H510">
        <v>0</v>
      </c>
      <c r="I510">
        <v>1</v>
      </c>
      <c r="J510">
        <v>0.12</v>
      </c>
      <c r="K510">
        <v>520</v>
      </c>
      <c r="L510">
        <v>0.1212</v>
      </c>
      <c r="M510">
        <v>0.3</v>
      </c>
      <c r="N510">
        <v>0.25369999999999998</v>
      </c>
      <c r="O510">
        <v>5</v>
      </c>
      <c r="P510">
        <v>44</v>
      </c>
      <c r="Q510">
        <v>49</v>
      </c>
    </row>
    <row r="511" spans="1:17" x14ac:dyDescent="0.3">
      <c r="A511">
        <v>521</v>
      </c>
      <c r="B511" s="4">
        <v>40566</v>
      </c>
      <c r="C511">
        <v>1</v>
      </c>
      <c r="D511">
        <v>0</v>
      </c>
      <c r="E511">
        <v>1</v>
      </c>
      <c r="F511">
        <v>19</v>
      </c>
      <c r="G511" t="b">
        <v>0</v>
      </c>
      <c r="H511">
        <v>0</v>
      </c>
      <c r="I511">
        <v>1</v>
      </c>
      <c r="J511">
        <v>0.12</v>
      </c>
      <c r="K511">
        <v>521</v>
      </c>
      <c r="L511">
        <v>0.1212</v>
      </c>
      <c r="M511">
        <v>0.3</v>
      </c>
      <c r="N511">
        <v>0.28360000000000002</v>
      </c>
      <c r="O511">
        <v>5</v>
      </c>
      <c r="P511">
        <v>45</v>
      </c>
      <c r="Q511">
        <v>50</v>
      </c>
    </row>
    <row r="512" spans="1:17" x14ac:dyDescent="0.3">
      <c r="A512">
        <v>522</v>
      </c>
      <c r="B512" s="4">
        <v>40566</v>
      </c>
      <c r="C512">
        <v>1</v>
      </c>
      <c r="D512">
        <v>0</v>
      </c>
      <c r="E512">
        <v>1</v>
      </c>
      <c r="F512">
        <v>20</v>
      </c>
      <c r="G512" t="b">
        <v>0</v>
      </c>
      <c r="H512">
        <v>0</v>
      </c>
      <c r="I512">
        <v>1</v>
      </c>
      <c r="J512">
        <v>0.1</v>
      </c>
      <c r="K512">
        <v>522</v>
      </c>
      <c r="L512">
        <v>0.1061</v>
      </c>
      <c r="M512">
        <v>0.36</v>
      </c>
      <c r="N512">
        <v>0.25369999999999998</v>
      </c>
      <c r="O512">
        <v>4</v>
      </c>
      <c r="P512">
        <v>31</v>
      </c>
      <c r="Q512">
        <v>35</v>
      </c>
    </row>
    <row r="513" spans="1:17" x14ac:dyDescent="0.3">
      <c r="A513">
        <v>523</v>
      </c>
      <c r="B513" s="4">
        <v>40566</v>
      </c>
      <c r="C513">
        <v>1</v>
      </c>
      <c r="D513">
        <v>0</v>
      </c>
      <c r="E513">
        <v>1</v>
      </c>
      <c r="F513">
        <v>21</v>
      </c>
      <c r="G513" t="b">
        <v>0</v>
      </c>
      <c r="H513">
        <v>0</v>
      </c>
      <c r="I513">
        <v>1</v>
      </c>
      <c r="J513">
        <v>0.1</v>
      </c>
      <c r="K513">
        <v>523</v>
      </c>
      <c r="L513">
        <v>0.1061</v>
      </c>
      <c r="M513">
        <v>0.36</v>
      </c>
      <c r="N513">
        <v>0.19400000000000001</v>
      </c>
      <c r="O513">
        <v>5</v>
      </c>
      <c r="P513">
        <v>20</v>
      </c>
      <c r="Q513">
        <v>25</v>
      </c>
    </row>
    <row r="514" spans="1:17" x14ac:dyDescent="0.3">
      <c r="A514">
        <v>524</v>
      </c>
      <c r="B514" s="4">
        <v>40566</v>
      </c>
      <c r="C514">
        <v>1</v>
      </c>
      <c r="D514">
        <v>0</v>
      </c>
      <c r="E514">
        <v>1</v>
      </c>
      <c r="F514">
        <v>22</v>
      </c>
      <c r="G514" t="b">
        <v>0</v>
      </c>
      <c r="H514">
        <v>0</v>
      </c>
      <c r="I514">
        <v>1</v>
      </c>
      <c r="J514">
        <v>0.08</v>
      </c>
      <c r="K514">
        <v>524</v>
      </c>
      <c r="L514">
        <v>9.0899999999999995E-2</v>
      </c>
      <c r="M514">
        <v>0.38</v>
      </c>
      <c r="N514">
        <v>0.19400000000000001</v>
      </c>
      <c r="O514">
        <v>5</v>
      </c>
      <c r="P514">
        <v>23</v>
      </c>
      <c r="Q514">
        <v>28</v>
      </c>
    </row>
    <row r="515" spans="1:17" x14ac:dyDescent="0.3">
      <c r="A515">
        <v>525</v>
      </c>
      <c r="B515" s="4">
        <v>40566</v>
      </c>
      <c r="C515">
        <v>1</v>
      </c>
      <c r="D515">
        <v>0</v>
      </c>
      <c r="E515">
        <v>1</v>
      </c>
      <c r="F515">
        <v>23</v>
      </c>
      <c r="G515" t="b">
        <v>0</v>
      </c>
      <c r="H515">
        <v>0</v>
      </c>
      <c r="I515">
        <v>1</v>
      </c>
      <c r="J515">
        <v>0.06</v>
      </c>
      <c r="K515">
        <v>525</v>
      </c>
      <c r="L515">
        <v>6.0600000000000001E-2</v>
      </c>
      <c r="M515">
        <v>0.41</v>
      </c>
      <c r="N515">
        <v>0.22389999999999999</v>
      </c>
      <c r="O515">
        <v>4</v>
      </c>
      <c r="P515">
        <v>17</v>
      </c>
      <c r="Q515">
        <v>21</v>
      </c>
    </row>
    <row r="516" spans="1:17" x14ac:dyDescent="0.3">
      <c r="A516">
        <v>526</v>
      </c>
      <c r="B516" s="4">
        <v>40567</v>
      </c>
      <c r="C516">
        <v>1</v>
      </c>
      <c r="D516">
        <v>0</v>
      </c>
      <c r="E516">
        <v>1</v>
      </c>
      <c r="F516">
        <v>0</v>
      </c>
      <c r="G516" t="b">
        <v>0</v>
      </c>
      <c r="H516">
        <v>1</v>
      </c>
      <c r="I516">
        <v>1</v>
      </c>
      <c r="J516">
        <v>0.06</v>
      </c>
      <c r="K516">
        <v>526</v>
      </c>
      <c r="L516">
        <v>6.0600000000000001E-2</v>
      </c>
      <c r="M516">
        <v>0.41</v>
      </c>
      <c r="N516">
        <v>0.19400000000000001</v>
      </c>
      <c r="O516">
        <v>0</v>
      </c>
      <c r="P516">
        <v>7</v>
      </c>
      <c r="Q516">
        <v>7</v>
      </c>
    </row>
    <row r="517" spans="1:17" x14ac:dyDescent="0.3">
      <c r="A517">
        <v>527</v>
      </c>
      <c r="B517" s="4">
        <v>40567</v>
      </c>
      <c r="C517">
        <v>1</v>
      </c>
      <c r="D517">
        <v>0</v>
      </c>
      <c r="E517">
        <v>1</v>
      </c>
      <c r="F517">
        <v>1</v>
      </c>
      <c r="G517" t="b">
        <v>0</v>
      </c>
      <c r="H517">
        <v>1</v>
      </c>
      <c r="I517">
        <v>1</v>
      </c>
      <c r="J517">
        <v>0.04</v>
      </c>
      <c r="K517">
        <v>527</v>
      </c>
      <c r="L517">
        <v>4.5499999999999999E-2</v>
      </c>
      <c r="M517">
        <v>0.45</v>
      </c>
      <c r="N517">
        <v>0.19400000000000001</v>
      </c>
      <c r="O517">
        <v>0</v>
      </c>
      <c r="P517">
        <v>1</v>
      </c>
      <c r="Q517">
        <v>1</v>
      </c>
    </row>
    <row r="518" spans="1:17" x14ac:dyDescent="0.3">
      <c r="A518">
        <v>528</v>
      </c>
      <c r="B518" s="4">
        <v>40567</v>
      </c>
      <c r="C518">
        <v>1</v>
      </c>
      <c r="D518">
        <v>0</v>
      </c>
      <c r="E518">
        <v>1</v>
      </c>
      <c r="F518">
        <v>3</v>
      </c>
      <c r="G518" t="b">
        <v>0</v>
      </c>
      <c r="H518">
        <v>1</v>
      </c>
      <c r="I518">
        <v>1</v>
      </c>
      <c r="J518">
        <v>0.04</v>
      </c>
      <c r="K518">
        <v>528</v>
      </c>
      <c r="L518">
        <v>3.0300000000000001E-2</v>
      </c>
      <c r="M518">
        <v>0.45</v>
      </c>
      <c r="N518">
        <v>0.25369999999999998</v>
      </c>
      <c r="O518">
        <v>0</v>
      </c>
      <c r="P518">
        <v>1</v>
      </c>
      <c r="Q518">
        <v>1</v>
      </c>
    </row>
    <row r="519" spans="1:17" x14ac:dyDescent="0.3">
      <c r="A519">
        <v>529</v>
      </c>
      <c r="B519" s="4">
        <v>40567</v>
      </c>
      <c r="C519">
        <v>1</v>
      </c>
      <c r="D519">
        <v>0</v>
      </c>
      <c r="E519">
        <v>1</v>
      </c>
      <c r="F519">
        <v>4</v>
      </c>
      <c r="G519" t="b">
        <v>0</v>
      </c>
      <c r="H519">
        <v>1</v>
      </c>
      <c r="I519">
        <v>1</v>
      </c>
      <c r="J519">
        <v>0.02</v>
      </c>
      <c r="K519">
        <v>529</v>
      </c>
      <c r="L519">
        <v>6.0600000000000001E-2</v>
      </c>
      <c r="M519">
        <v>0.48</v>
      </c>
      <c r="N519">
        <v>0.1343</v>
      </c>
      <c r="O519">
        <v>0</v>
      </c>
      <c r="P519">
        <v>1</v>
      </c>
      <c r="Q519">
        <v>1</v>
      </c>
    </row>
    <row r="520" spans="1:17" x14ac:dyDescent="0.3">
      <c r="A520">
        <v>530</v>
      </c>
      <c r="B520" s="4">
        <v>40567</v>
      </c>
      <c r="C520">
        <v>1</v>
      </c>
      <c r="D520">
        <v>0</v>
      </c>
      <c r="E520">
        <v>1</v>
      </c>
      <c r="F520">
        <v>5</v>
      </c>
      <c r="G520" t="b">
        <v>0</v>
      </c>
      <c r="H520">
        <v>1</v>
      </c>
      <c r="I520">
        <v>1</v>
      </c>
      <c r="J520">
        <v>0.02</v>
      </c>
      <c r="K520">
        <v>530</v>
      </c>
      <c r="L520">
        <v>6.0600000000000001E-2</v>
      </c>
      <c r="M520">
        <v>0.48</v>
      </c>
      <c r="N520">
        <v>0.1343</v>
      </c>
      <c r="O520">
        <v>0</v>
      </c>
      <c r="P520">
        <v>5</v>
      </c>
      <c r="Q520">
        <v>5</v>
      </c>
    </row>
    <row r="521" spans="1:17" x14ac:dyDescent="0.3">
      <c r="A521">
        <v>531</v>
      </c>
      <c r="B521" s="4">
        <v>40567</v>
      </c>
      <c r="C521">
        <v>1</v>
      </c>
      <c r="D521">
        <v>0</v>
      </c>
      <c r="E521">
        <v>1</v>
      </c>
      <c r="F521">
        <v>6</v>
      </c>
      <c r="G521" t="b">
        <v>0</v>
      </c>
      <c r="H521">
        <v>1</v>
      </c>
      <c r="I521">
        <v>1</v>
      </c>
      <c r="J521">
        <v>0.02</v>
      </c>
      <c r="K521">
        <v>531</v>
      </c>
      <c r="L521">
        <v>7.5800000000000006E-2</v>
      </c>
      <c r="M521">
        <v>0.48</v>
      </c>
      <c r="N521">
        <v>8.9599999999999999E-2</v>
      </c>
      <c r="O521">
        <v>0</v>
      </c>
      <c r="P521">
        <v>15</v>
      </c>
      <c r="Q521">
        <v>15</v>
      </c>
    </row>
    <row r="522" spans="1:17" x14ac:dyDescent="0.3">
      <c r="A522">
        <v>532</v>
      </c>
      <c r="B522" s="4">
        <v>40567</v>
      </c>
      <c r="C522">
        <v>1</v>
      </c>
      <c r="D522">
        <v>0</v>
      </c>
      <c r="E522">
        <v>1</v>
      </c>
      <c r="F522">
        <v>7</v>
      </c>
      <c r="G522" t="b">
        <v>0</v>
      </c>
      <c r="H522">
        <v>1</v>
      </c>
      <c r="I522">
        <v>1</v>
      </c>
      <c r="J522">
        <v>0.02</v>
      </c>
      <c r="K522">
        <v>532</v>
      </c>
      <c r="L522">
        <v>0.1212</v>
      </c>
      <c r="M522">
        <v>0.48</v>
      </c>
      <c r="N522">
        <v>0</v>
      </c>
      <c r="O522">
        <v>5</v>
      </c>
      <c r="P522">
        <v>79</v>
      </c>
      <c r="Q522">
        <v>84</v>
      </c>
    </row>
    <row r="523" spans="1:17" x14ac:dyDescent="0.3">
      <c r="A523">
        <v>533</v>
      </c>
      <c r="B523" s="4">
        <v>40567</v>
      </c>
      <c r="C523">
        <v>1</v>
      </c>
      <c r="D523">
        <v>0</v>
      </c>
      <c r="E523">
        <v>1</v>
      </c>
      <c r="F523">
        <v>8</v>
      </c>
      <c r="G523" t="b">
        <v>0</v>
      </c>
      <c r="H523">
        <v>1</v>
      </c>
      <c r="I523">
        <v>1</v>
      </c>
      <c r="J523">
        <v>0.04</v>
      </c>
      <c r="K523">
        <v>533</v>
      </c>
      <c r="L523">
        <v>0.13639999999999999</v>
      </c>
      <c r="M523">
        <v>0.49</v>
      </c>
      <c r="N523">
        <v>0</v>
      </c>
      <c r="O523">
        <v>6</v>
      </c>
      <c r="P523">
        <v>171</v>
      </c>
      <c r="Q523">
        <v>177</v>
      </c>
    </row>
    <row r="524" spans="1:17" x14ac:dyDescent="0.3">
      <c r="A524">
        <v>534</v>
      </c>
      <c r="B524" s="4">
        <v>40567</v>
      </c>
      <c r="C524">
        <v>1</v>
      </c>
      <c r="D524">
        <v>0</v>
      </c>
      <c r="E524">
        <v>1</v>
      </c>
      <c r="F524">
        <v>9</v>
      </c>
      <c r="G524" t="b">
        <v>0</v>
      </c>
      <c r="H524">
        <v>1</v>
      </c>
      <c r="I524">
        <v>1</v>
      </c>
      <c r="J524">
        <v>0.06</v>
      </c>
      <c r="K524">
        <v>534</v>
      </c>
      <c r="L524">
        <v>0.1515</v>
      </c>
      <c r="M524">
        <v>0.41</v>
      </c>
      <c r="N524">
        <v>0</v>
      </c>
      <c r="O524">
        <v>4</v>
      </c>
      <c r="P524">
        <v>98</v>
      </c>
      <c r="Q524">
        <v>102</v>
      </c>
    </row>
    <row r="525" spans="1:17" x14ac:dyDescent="0.3">
      <c r="A525">
        <v>535</v>
      </c>
      <c r="B525" s="4">
        <v>40567</v>
      </c>
      <c r="C525">
        <v>1</v>
      </c>
      <c r="D525">
        <v>0</v>
      </c>
      <c r="E525">
        <v>1</v>
      </c>
      <c r="F525">
        <v>10</v>
      </c>
      <c r="G525" t="b">
        <v>0</v>
      </c>
      <c r="H525">
        <v>1</v>
      </c>
      <c r="I525">
        <v>1</v>
      </c>
      <c r="J525">
        <v>0.1</v>
      </c>
      <c r="K525">
        <v>535</v>
      </c>
      <c r="L525">
        <v>0.13639999999999999</v>
      </c>
      <c r="M525">
        <v>0.42</v>
      </c>
      <c r="N525">
        <v>0</v>
      </c>
      <c r="O525">
        <v>6</v>
      </c>
      <c r="P525">
        <v>34</v>
      </c>
      <c r="Q525">
        <v>40</v>
      </c>
    </row>
    <row r="526" spans="1:17" x14ac:dyDescent="0.3">
      <c r="A526">
        <v>536</v>
      </c>
      <c r="B526" s="4">
        <v>40567</v>
      </c>
      <c r="C526">
        <v>1</v>
      </c>
      <c r="D526">
        <v>0</v>
      </c>
      <c r="E526">
        <v>1</v>
      </c>
      <c r="F526">
        <v>11</v>
      </c>
      <c r="G526" t="b">
        <v>0</v>
      </c>
      <c r="H526">
        <v>1</v>
      </c>
      <c r="I526">
        <v>1</v>
      </c>
      <c r="J526">
        <v>0.1</v>
      </c>
      <c r="K526">
        <v>536</v>
      </c>
      <c r="L526">
        <v>0.1212</v>
      </c>
      <c r="M526">
        <v>0.46</v>
      </c>
      <c r="N526">
        <v>0.1343</v>
      </c>
      <c r="O526">
        <v>3</v>
      </c>
      <c r="P526">
        <v>43</v>
      </c>
      <c r="Q526">
        <v>46</v>
      </c>
    </row>
    <row r="527" spans="1:17" x14ac:dyDescent="0.3">
      <c r="A527">
        <v>537</v>
      </c>
      <c r="B527" s="4">
        <v>40567</v>
      </c>
      <c r="C527">
        <v>1</v>
      </c>
      <c r="D527">
        <v>0</v>
      </c>
      <c r="E527">
        <v>1</v>
      </c>
      <c r="F527">
        <v>12</v>
      </c>
      <c r="G527" t="b">
        <v>0</v>
      </c>
      <c r="H527">
        <v>1</v>
      </c>
      <c r="I527">
        <v>2</v>
      </c>
      <c r="J527">
        <v>0.12</v>
      </c>
      <c r="K527">
        <v>537</v>
      </c>
      <c r="L527">
        <v>0.13639999999999999</v>
      </c>
      <c r="M527">
        <v>0.42</v>
      </c>
      <c r="N527">
        <v>0.19400000000000001</v>
      </c>
      <c r="O527">
        <v>11</v>
      </c>
      <c r="P527">
        <v>52</v>
      </c>
      <c r="Q527">
        <v>63</v>
      </c>
    </row>
    <row r="528" spans="1:17" x14ac:dyDescent="0.3">
      <c r="A528">
        <v>538</v>
      </c>
      <c r="B528" s="4">
        <v>40567</v>
      </c>
      <c r="C528">
        <v>1</v>
      </c>
      <c r="D528">
        <v>0</v>
      </c>
      <c r="E528">
        <v>1</v>
      </c>
      <c r="F528">
        <v>13</v>
      </c>
      <c r="G528" t="b">
        <v>0</v>
      </c>
      <c r="H528">
        <v>1</v>
      </c>
      <c r="I528">
        <v>2</v>
      </c>
      <c r="J528">
        <v>0.14000000000000001</v>
      </c>
      <c r="K528">
        <v>538</v>
      </c>
      <c r="L528">
        <v>0.13639999999999999</v>
      </c>
      <c r="M528">
        <v>0.43</v>
      </c>
      <c r="N528">
        <v>0.22389999999999999</v>
      </c>
      <c r="O528">
        <v>6</v>
      </c>
      <c r="P528">
        <v>54</v>
      </c>
      <c r="Q528">
        <v>60</v>
      </c>
    </row>
    <row r="529" spans="1:17" x14ac:dyDescent="0.3">
      <c r="A529">
        <v>539</v>
      </c>
      <c r="B529" s="4">
        <v>40567</v>
      </c>
      <c r="C529">
        <v>1</v>
      </c>
      <c r="D529">
        <v>0</v>
      </c>
      <c r="E529">
        <v>1</v>
      </c>
      <c r="F529">
        <v>14</v>
      </c>
      <c r="G529" t="b">
        <v>0</v>
      </c>
      <c r="H529">
        <v>1</v>
      </c>
      <c r="I529">
        <v>2</v>
      </c>
      <c r="J529">
        <v>0.14000000000000001</v>
      </c>
      <c r="K529">
        <v>539</v>
      </c>
      <c r="L529">
        <v>0.13639999999999999</v>
      </c>
      <c r="M529">
        <v>0.46</v>
      </c>
      <c r="N529">
        <v>0.22389999999999999</v>
      </c>
      <c r="O529">
        <v>2</v>
      </c>
      <c r="P529">
        <v>43</v>
      </c>
      <c r="Q529">
        <v>45</v>
      </c>
    </row>
    <row r="530" spans="1:17" x14ac:dyDescent="0.3">
      <c r="A530">
        <v>540</v>
      </c>
      <c r="B530" s="4">
        <v>40567</v>
      </c>
      <c r="C530">
        <v>1</v>
      </c>
      <c r="D530">
        <v>0</v>
      </c>
      <c r="E530">
        <v>1</v>
      </c>
      <c r="F530">
        <v>15</v>
      </c>
      <c r="G530" t="b">
        <v>0</v>
      </c>
      <c r="H530">
        <v>1</v>
      </c>
      <c r="I530">
        <v>1</v>
      </c>
      <c r="J530">
        <v>0.16</v>
      </c>
      <c r="K530">
        <v>540</v>
      </c>
      <c r="L530">
        <v>0.16669999999999999</v>
      </c>
      <c r="M530">
        <v>0.4</v>
      </c>
      <c r="N530">
        <v>0.16420000000000001</v>
      </c>
      <c r="O530">
        <v>7</v>
      </c>
      <c r="P530">
        <v>50</v>
      </c>
      <c r="Q530">
        <v>57</v>
      </c>
    </row>
    <row r="531" spans="1:17" x14ac:dyDescent="0.3">
      <c r="A531">
        <v>541</v>
      </c>
      <c r="B531" s="4">
        <v>40567</v>
      </c>
      <c r="C531">
        <v>1</v>
      </c>
      <c r="D531">
        <v>0</v>
      </c>
      <c r="E531">
        <v>1</v>
      </c>
      <c r="F531">
        <v>16</v>
      </c>
      <c r="G531" t="b">
        <v>0</v>
      </c>
      <c r="H531">
        <v>1</v>
      </c>
      <c r="I531">
        <v>1</v>
      </c>
      <c r="J531">
        <v>0.16</v>
      </c>
      <c r="K531">
        <v>541</v>
      </c>
      <c r="L531">
        <v>0.1515</v>
      </c>
      <c r="M531">
        <v>0.47</v>
      </c>
      <c r="N531">
        <v>0.25369999999999998</v>
      </c>
      <c r="O531">
        <v>4</v>
      </c>
      <c r="P531">
        <v>66</v>
      </c>
      <c r="Q531">
        <v>70</v>
      </c>
    </row>
    <row r="532" spans="1:17" x14ac:dyDescent="0.3">
      <c r="A532">
        <v>542</v>
      </c>
      <c r="B532" s="4">
        <v>40567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1</v>
      </c>
      <c r="I532">
        <v>1</v>
      </c>
      <c r="J532">
        <v>0.14000000000000001</v>
      </c>
      <c r="K532">
        <v>542</v>
      </c>
      <c r="L532">
        <v>0.1212</v>
      </c>
      <c r="M532">
        <v>0.5</v>
      </c>
      <c r="N532">
        <v>0.25369999999999998</v>
      </c>
      <c r="O532">
        <v>6</v>
      </c>
      <c r="P532">
        <v>178</v>
      </c>
      <c r="Q532">
        <v>184</v>
      </c>
    </row>
    <row r="533" spans="1:17" x14ac:dyDescent="0.3">
      <c r="A533">
        <v>543</v>
      </c>
      <c r="B533" s="4">
        <v>40567</v>
      </c>
      <c r="C533">
        <v>1</v>
      </c>
      <c r="D533">
        <v>0</v>
      </c>
      <c r="E533">
        <v>1</v>
      </c>
      <c r="F533">
        <v>18</v>
      </c>
      <c r="G533" t="b">
        <v>0</v>
      </c>
      <c r="H533">
        <v>1</v>
      </c>
      <c r="I533">
        <v>1</v>
      </c>
      <c r="J533">
        <v>0.14000000000000001</v>
      </c>
      <c r="K533">
        <v>543</v>
      </c>
      <c r="L533">
        <v>0.13639999999999999</v>
      </c>
      <c r="M533">
        <v>0.59</v>
      </c>
      <c r="N533">
        <v>0.19400000000000001</v>
      </c>
      <c r="O533">
        <v>8</v>
      </c>
      <c r="P533">
        <v>145</v>
      </c>
      <c r="Q533">
        <v>153</v>
      </c>
    </row>
    <row r="534" spans="1:17" x14ac:dyDescent="0.3">
      <c r="A534">
        <v>544</v>
      </c>
      <c r="B534" s="4">
        <v>40567</v>
      </c>
      <c r="C534">
        <v>1</v>
      </c>
      <c r="D534">
        <v>0</v>
      </c>
      <c r="E534">
        <v>1</v>
      </c>
      <c r="F534">
        <v>19</v>
      </c>
      <c r="G534" t="b">
        <v>0</v>
      </c>
      <c r="H534">
        <v>1</v>
      </c>
      <c r="I534">
        <v>1</v>
      </c>
      <c r="J534">
        <v>0.14000000000000001</v>
      </c>
      <c r="K534">
        <v>544</v>
      </c>
      <c r="L534">
        <v>0.1515</v>
      </c>
      <c r="M534">
        <v>0.54</v>
      </c>
      <c r="N534">
        <v>0.16420000000000001</v>
      </c>
      <c r="O534">
        <v>5</v>
      </c>
      <c r="P534">
        <v>101</v>
      </c>
      <c r="Q534">
        <v>106</v>
      </c>
    </row>
    <row r="535" spans="1:17" x14ac:dyDescent="0.3">
      <c r="A535">
        <v>545</v>
      </c>
      <c r="B535" s="4">
        <v>40567</v>
      </c>
      <c r="C535">
        <v>1</v>
      </c>
      <c r="D535">
        <v>0</v>
      </c>
      <c r="E535">
        <v>1</v>
      </c>
      <c r="F535">
        <v>20</v>
      </c>
      <c r="G535" t="b">
        <v>0</v>
      </c>
      <c r="H535">
        <v>1</v>
      </c>
      <c r="I535">
        <v>1</v>
      </c>
      <c r="J535">
        <v>0.14000000000000001</v>
      </c>
      <c r="K535">
        <v>545</v>
      </c>
      <c r="L535">
        <v>0.13639999999999999</v>
      </c>
      <c r="M535">
        <v>0.59</v>
      </c>
      <c r="N535">
        <v>0.19400000000000001</v>
      </c>
      <c r="O535">
        <v>1</v>
      </c>
      <c r="P535">
        <v>80</v>
      </c>
      <c r="Q535">
        <v>81</v>
      </c>
    </row>
    <row r="536" spans="1:17" x14ac:dyDescent="0.3">
      <c r="A536">
        <v>546</v>
      </c>
      <c r="B536" s="4">
        <v>40567</v>
      </c>
      <c r="C536">
        <v>1</v>
      </c>
      <c r="D536">
        <v>0</v>
      </c>
      <c r="E536">
        <v>1</v>
      </c>
      <c r="F536">
        <v>21</v>
      </c>
      <c r="G536" t="b">
        <v>0</v>
      </c>
      <c r="H536">
        <v>1</v>
      </c>
      <c r="I536">
        <v>1</v>
      </c>
      <c r="J536">
        <v>0.14000000000000001</v>
      </c>
      <c r="K536">
        <v>546</v>
      </c>
      <c r="L536">
        <v>0.1515</v>
      </c>
      <c r="M536">
        <v>0.63</v>
      </c>
      <c r="N536">
        <v>0.16420000000000001</v>
      </c>
      <c r="O536">
        <v>6</v>
      </c>
      <c r="P536">
        <v>53</v>
      </c>
      <c r="Q536">
        <v>59</v>
      </c>
    </row>
    <row r="537" spans="1:17" x14ac:dyDescent="0.3">
      <c r="A537">
        <v>547</v>
      </c>
      <c r="B537" s="4">
        <v>40567</v>
      </c>
      <c r="C537">
        <v>1</v>
      </c>
      <c r="D537">
        <v>0</v>
      </c>
      <c r="E537">
        <v>1</v>
      </c>
      <c r="F537">
        <v>22</v>
      </c>
      <c r="G537" t="b">
        <v>0</v>
      </c>
      <c r="H537">
        <v>1</v>
      </c>
      <c r="I537">
        <v>2</v>
      </c>
      <c r="J537">
        <v>0.14000000000000001</v>
      </c>
      <c r="K537">
        <v>547</v>
      </c>
      <c r="L537">
        <v>0.13639999999999999</v>
      </c>
      <c r="M537">
        <v>0.63</v>
      </c>
      <c r="N537">
        <v>0.22389999999999999</v>
      </c>
      <c r="O537">
        <v>3</v>
      </c>
      <c r="P537">
        <v>32</v>
      </c>
      <c r="Q537">
        <v>35</v>
      </c>
    </row>
    <row r="538" spans="1:17" x14ac:dyDescent="0.3">
      <c r="A538">
        <v>548</v>
      </c>
      <c r="B538" s="4">
        <v>40567</v>
      </c>
      <c r="C538">
        <v>1</v>
      </c>
      <c r="D538">
        <v>0</v>
      </c>
      <c r="E538">
        <v>1</v>
      </c>
      <c r="F538">
        <v>23</v>
      </c>
      <c r="G538" t="b">
        <v>0</v>
      </c>
      <c r="H538">
        <v>1</v>
      </c>
      <c r="I538">
        <v>2</v>
      </c>
      <c r="J538">
        <v>0.16</v>
      </c>
      <c r="K538">
        <v>548</v>
      </c>
      <c r="L538">
        <v>0.1515</v>
      </c>
      <c r="M538">
        <v>0.64</v>
      </c>
      <c r="N538">
        <v>0.25369999999999998</v>
      </c>
      <c r="O538">
        <v>3</v>
      </c>
      <c r="P538">
        <v>21</v>
      </c>
      <c r="Q538">
        <v>24</v>
      </c>
    </row>
    <row r="539" spans="1:17" x14ac:dyDescent="0.3">
      <c r="A539">
        <v>549</v>
      </c>
      <c r="B539" s="4">
        <v>40568</v>
      </c>
      <c r="C539">
        <v>1</v>
      </c>
      <c r="D539">
        <v>0</v>
      </c>
      <c r="E539">
        <v>1</v>
      </c>
      <c r="F539">
        <v>0</v>
      </c>
      <c r="G539" t="b">
        <v>0</v>
      </c>
      <c r="H539">
        <v>2</v>
      </c>
      <c r="I539">
        <v>2</v>
      </c>
      <c r="J539">
        <v>0.16</v>
      </c>
      <c r="K539">
        <v>549</v>
      </c>
      <c r="L539">
        <v>0.13639999999999999</v>
      </c>
      <c r="M539">
        <v>0.69</v>
      </c>
      <c r="N539">
        <v>0.28360000000000002</v>
      </c>
      <c r="O539">
        <v>3</v>
      </c>
      <c r="P539">
        <v>6</v>
      </c>
      <c r="Q539">
        <v>9</v>
      </c>
    </row>
    <row r="540" spans="1:17" x14ac:dyDescent="0.3">
      <c r="A540">
        <v>550</v>
      </c>
      <c r="B540" s="4">
        <v>40568</v>
      </c>
      <c r="C540">
        <v>1</v>
      </c>
      <c r="D540">
        <v>0</v>
      </c>
      <c r="E540">
        <v>1</v>
      </c>
      <c r="F540">
        <v>1</v>
      </c>
      <c r="G540" t="b">
        <v>0</v>
      </c>
      <c r="H540">
        <v>2</v>
      </c>
      <c r="I540">
        <v>2</v>
      </c>
      <c r="J540">
        <v>0.16</v>
      </c>
      <c r="K540">
        <v>550</v>
      </c>
      <c r="L540">
        <v>0.16669999999999999</v>
      </c>
      <c r="M540">
        <v>0.69</v>
      </c>
      <c r="N540">
        <v>0.16420000000000001</v>
      </c>
      <c r="O540">
        <v>0</v>
      </c>
      <c r="P540">
        <v>5</v>
      </c>
      <c r="Q540">
        <v>5</v>
      </c>
    </row>
    <row r="541" spans="1:17" x14ac:dyDescent="0.3">
      <c r="A541">
        <v>551</v>
      </c>
      <c r="B541" s="4">
        <v>40568</v>
      </c>
      <c r="C541">
        <v>1</v>
      </c>
      <c r="D541">
        <v>0</v>
      </c>
      <c r="E541">
        <v>1</v>
      </c>
      <c r="F541">
        <v>2</v>
      </c>
      <c r="G541" t="b">
        <v>0</v>
      </c>
      <c r="H541">
        <v>2</v>
      </c>
      <c r="I541">
        <v>1</v>
      </c>
      <c r="J541">
        <v>0.16</v>
      </c>
      <c r="K541">
        <v>551</v>
      </c>
      <c r="L541">
        <v>0.1515</v>
      </c>
      <c r="M541">
        <v>0.69</v>
      </c>
      <c r="N541">
        <v>0.22389999999999999</v>
      </c>
      <c r="O541">
        <v>0</v>
      </c>
      <c r="P541">
        <v>2</v>
      </c>
      <c r="Q541">
        <v>2</v>
      </c>
    </row>
    <row r="542" spans="1:17" x14ac:dyDescent="0.3">
      <c r="A542">
        <v>552</v>
      </c>
      <c r="B542" s="4">
        <v>40568</v>
      </c>
      <c r="C542">
        <v>1</v>
      </c>
      <c r="D542">
        <v>0</v>
      </c>
      <c r="E542">
        <v>1</v>
      </c>
      <c r="F542">
        <v>4</v>
      </c>
      <c r="G542" t="b">
        <v>0</v>
      </c>
      <c r="H542">
        <v>2</v>
      </c>
      <c r="I542">
        <v>1</v>
      </c>
      <c r="J542">
        <v>0.14000000000000001</v>
      </c>
      <c r="K542">
        <v>552</v>
      </c>
      <c r="L542">
        <v>0.16669999999999999</v>
      </c>
      <c r="M542">
        <v>0.74</v>
      </c>
      <c r="N542">
        <v>0.1045</v>
      </c>
      <c r="O542">
        <v>0</v>
      </c>
      <c r="P542">
        <v>1</v>
      </c>
      <c r="Q542">
        <v>1</v>
      </c>
    </row>
    <row r="543" spans="1:17" x14ac:dyDescent="0.3">
      <c r="A543">
        <v>553</v>
      </c>
      <c r="B543" s="4">
        <v>40568</v>
      </c>
      <c r="C543">
        <v>1</v>
      </c>
      <c r="D543">
        <v>0</v>
      </c>
      <c r="E543">
        <v>1</v>
      </c>
      <c r="F543">
        <v>5</v>
      </c>
      <c r="G543" t="b">
        <v>0</v>
      </c>
      <c r="H543">
        <v>2</v>
      </c>
      <c r="I543">
        <v>1</v>
      </c>
      <c r="J543">
        <v>0.14000000000000001</v>
      </c>
      <c r="K543">
        <v>553</v>
      </c>
      <c r="L543">
        <v>0.13639999999999999</v>
      </c>
      <c r="M543">
        <v>0.74</v>
      </c>
      <c r="N543">
        <v>0.22389999999999999</v>
      </c>
      <c r="O543">
        <v>0</v>
      </c>
      <c r="P543">
        <v>9</v>
      </c>
      <c r="Q543">
        <v>9</v>
      </c>
    </row>
    <row r="544" spans="1:17" x14ac:dyDescent="0.3">
      <c r="A544">
        <v>554</v>
      </c>
      <c r="B544" s="4">
        <v>40568</v>
      </c>
      <c r="C544">
        <v>1</v>
      </c>
      <c r="D544">
        <v>0</v>
      </c>
      <c r="E544">
        <v>1</v>
      </c>
      <c r="F544">
        <v>6</v>
      </c>
      <c r="G544" t="b">
        <v>0</v>
      </c>
      <c r="H544">
        <v>2</v>
      </c>
      <c r="I544">
        <v>1</v>
      </c>
      <c r="J544">
        <v>0.16</v>
      </c>
      <c r="K544">
        <v>554</v>
      </c>
      <c r="L544">
        <v>0.18179999999999999</v>
      </c>
      <c r="M544">
        <v>0.74</v>
      </c>
      <c r="N544">
        <v>0.1045</v>
      </c>
      <c r="O544">
        <v>1</v>
      </c>
      <c r="P544">
        <v>35</v>
      </c>
      <c r="Q544">
        <v>36</v>
      </c>
    </row>
    <row r="545" spans="1:17" x14ac:dyDescent="0.3">
      <c r="A545">
        <v>555</v>
      </c>
      <c r="B545" s="4">
        <v>40568</v>
      </c>
      <c r="C545">
        <v>1</v>
      </c>
      <c r="D545">
        <v>0</v>
      </c>
      <c r="E545">
        <v>1</v>
      </c>
      <c r="F545">
        <v>7</v>
      </c>
      <c r="G545" t="b">
        <v>0</v>
      </c>
      <c r="H545">
        <v>2</v>
      </c>
      <c r="I545">
        <v>1</v>
      </c>
      <c r="J545">
        <v>0.16</v>
      </c>
      <c r="K545">
        <v>555</v>
      </c>
      <c r="L545">
        <v>0.1515</v>
      </c>
      <c r="M545">
        <v>0.74</v>
      </c>
      <c r="N545">
        <v>0.22389999999999999</v>
      </c>
      <c r="O545">
        <v>5</v>
      </c>
      <c r="P545">
        <v>103</v>
      </c>
      <c r="Q545">
        <v>108</v>
      </c>
    </row>
    <row r="546" spans="1:17" x14ac:dyDescent="0.3">
      <c r="A546">
        <v>556</v>
      </c>
      <c r="B546" s="4">
        <v>40568</v>
      </c>
      <c r="C546">
        <v>1</v>
      </c>
      <c r="D546">
        <v>0</v>
      </c>
      <c r="E546">
        <v>1</v>
      </c>
      <c r="F546">
        <v>8</v>
      </c>
      <c r="G546" t="b">
        <v>0</v>
      </c>
      <c r="H546">
        <v>2</v>
      </c>
      <c r="I546">
        <v>2</v>
      </c>
      <c r="J546">
        <v>0.16</v>
      </c>
      <c r="K546">
        <v>556</v>
      </c>
      <c r="L546">
        <v>0.18179999999999999</v>
      </c>
      <c r="M546">
        <v>0.74</v>
      </c>
      <c r="N546">
        <v>0.1343</v>
      </c>
      <c r="O546">
        <v>5</v>
      </c>
      <c r="P546">
        <v>233</v>
      </c>
      <c r="Q546">
        <v>238</v>
      </c>
    </row>
    <row r="547" spans="1:17" x14ac:dyDescent="0.3">
      <c r="A547">
        <v>557</v>
      </c>
      <c r="B547" s="4">
        <v>40568</v>
      </c>
      <c r="C547">
        <v>1</v>
      </c>
      <c r="D547">
        <v>0</v>
      </c>
      <c r="E547">
        <v>1</v>
      </c>
      <c r="F547">
        <v>9</v>
      </c>
      <c r="G547" t="b">
        <v>0</v>
      </c>
      <c r="H547">
        <v>2</v>
      </c>
      <c r="I547">
        <v>2</v>
      </c>
      <c r="J547">
        <v>0.2</v>
      </c>
      <c r="K547">
        <v>557</v>
      </c>
      <c r="L547">
        <v>0.2273</v>
      </c>
      <c r="M547">
        <v>0.64</v>
      </c>
      <c r="N547">
        <v>8.9599999999999999E-2</v>
      </c>
      <c r="O547">
        <v>10</v>
      </c>
      <c r="P547">
        <v>134</v>
      </c>
      <c r="Q547">
        <v>144</v>
      </c>
    </row>
    <row r="548" spans="1:17" x14ac:dyDescent="0.3">
      <c r="A548">
        <v>558</v>
      </c>
      <c r="B548" s="4">
        <v>40568</v>
      </c>
      <c r="C548">
        <v>1</v>
      </c>
      <c r="D548">
        <v>0</v>
      </c>
      <c r="E548">
        <v>1</v>
      </c>
      <c r="F548">
        <v>10</v>
      </c>
      <c r="G548" t="b">
        <v>0</v>
      </c>
      <c r="H548">
        <v>2</v>
      </c>
      <c r="I548">
        <v>2</v>
      </c>
      <c r="J548">
        <v>0.22</v>
      </c>
      <c r="K548">
        <v>558</v>
      </c>
      <c r="L548">
        <v>0.2424</v>
      </c>
      <c r="M548">
        <v>0.6</v>
      </c>
      <c r="N548">
        <v>0.1045</v>
      </c>
      <c r="O548">
        <v>6</v>
      </c>
      <c r="P548">
        <v>49</v>
      </c>
      <c r="Q548">
        <v>55</v>
      </c>
    </row>
    <row r="549" spans="1:17" x14ac:dyDescent="0.3">
      <c r="A549">
        <v>559</v>
      </c>
      <c r="B549" s="4">
        <v>40568</v>
      </c>
      <c r="C549">
        <v>1</v>
      </c>
      <c r="D549">
        <v>0</v>
      </c>
      <c r="E549">
        <v>1</v>
      </c>
      <c r="F549">
        <v>11</v>
      </c>
      <c r="G549" t="b">
        <v>0</v>
      </c>
      <c r="H549">
        <v>2</v>
      </c>
      <c r="I549">
        <v>2</v>
      </c>
      <c r="J549">
        <v>0.24</v>
      </c>
      <c r="K549">
        <v>559</v>
      </c>
      <c r="L549">
        <v>0.2424</v>
      </c>
      <c r="M549">
        <v>0.6</v>
      </c>
      <c r="N549">
        <v>0.1343</v>
      </c>
      <c r="O549">
        <v>6</v>
      </c>
      <c r="P549">
        <v>55</v>
      </c>
      <c r="Q549">
        <v>61</v>
      </c>
    </row>
    <row r="550" spans="1:17" x14ac:dyDescent="0.3">
      <c r="A550">
        <v>560</v>
      </c>
      <c r="B550" s="4">
        <v>40568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2</v>
      </c>
      <c r="I550">
        <v>2</v>
      </c>
      <c r="J550">
        <v>0.26</v>
      </c>
      <c r="K550">
        <v>560</v>
      </c>
      <c r="L550">
        <v>0.28789999999999999</v>
      </c>
      <c r="M550">
        <v>0.56000000000000005</v>
      </c>
      <c r="N550">
        <v>8.9599999999999999E-2</v>
      </c>
      <c r="O550">
        <v>21</v>
      </c>
      <c r="P550">
        <v>85</v>
      </c>
      <c r="Q550">
        <v>106</v>
      </c>
    </row>
    <row r="551" spans="1:17" x14ac:dyDescent="0.3">
      <c r="A551">
        <v>561</v>
      </c>
      <c r="B551" s="4">
        <v>40568</v>
      </c>
      <c r="C551">
        <v>1</v>
      </c>
      <c r="D551">
        <v>0</v>
      </c>
      <c r="E551">
        <v>1</v>
      </c>
      <c r="F551">
        <v>13</v>
      </c>
      <c r="G551" t="b">
        <v>0</v>
      </c>
      <c r="H551">
        <v>2</v>
      </c>
      <c r="I551">
        <v>2</v>
      </c>
      <c r="J551">
        <v>0.26</v>
      </c>
      <c r="K551">
        <v>561</v>
      </c>
      <c r="L551">
        <v>0.2727</v>
      </c>
      <c r="M551">
        <v>0.56000000000000005</v>
      </c>
      <c r="N551">
        <v>0.1343</v>
      </c>
      <c r="O551">
        <v>21</v>
      </c>
      <c r="P551">
        <v>72</v>
      </c>
      <c r="Q551">
        <v>93</v>
      </c>
    </row>
    <row r="552" spans="1:17" x14ac:dyDescent="0.3">
      <c r="A552">
        <v>562</v>
      </c>
      <c r="B552" s="4">
        <v>40568</v>
      </c>
      <c r="C552">
        <v>1</v>
      </c>
      <c r="D552">
        <v>0</v>
      </c>
      <c r="E552">
        <v>1</v>
      </c>
      <c r="F552">
        <v>14</v>
      </c>
      <c r="G552" t="b">
        <v>0</v>
      </c>
      <c r="H552">
        <v>2</v>
      </c>
      <c r="I552">
        <v>2</v>
      </c>
      <c r="J552">
        <v>0.3</v>
      </c>
      <c r="K552">
        <v>562</v>
      </c>
      <c r="L552">
        <v>0.33329999999999999</v>
      </c>
      <c r="M552">
        <v>0.45</v>
      </c>
      <c r="N552">
        <v>0</v>
      </c>
      <c r="O552">
        <v>11</v>
      </c>
      <c r="P552">
        <v>57</v>
      </c>
      <c r="Q552">
        <v>68</v>
      </c>
    </row>
    <row r="553" spans="1:17" x14ac:dyDescent="0.3">
      <c r="A553">
        <v>563</v>
      </c>
      <c r="B553" s="4">
        <v>40568</v>
      </c>
      <c r="C553">
        <v>1</v>
      </c>
      <c r="D553">
        <v>0</v>
      </c>
      <c r="E553">
        <v>1</v>
      </c>
      <c r="F553">
        <v>15</v>
      </c>
      <c r="G553" t="b">
        <v>0</v>
      </c>
      <c r="H553">
        <v>2</v>
      </c>
      <c r="I553">
        <v>2</v>
      </c>
      <c r="J553">
        <v>0.32</v>
      </c>
      <c r="K553">
        <v>563</v>
      </c>
      <c r="L553">
        <v>0.34849999999999998</v>
      </c>
      <c r="M553">
        <v>0.42</v>
      </c>
      <c r="N553">
        <v>0</v>
      </c>
      <c r="O553">
        <v>21</v>
      </c>
      <c r="P553">
        <v>63</v>
      </c>
      <c r="Q553">
        <v>84</v>
      </c>
    </row>
    <row r="554" spans="1:17" x14ac:dyDescent="0.3">
      <c r="A554">
        <v>564</v>
      </c>
      <c r="B554" s="4">
        <v>40568</v>
      </c>
      <c r="C554">
        <v>1</v>
      </c>
      <c r="D554">
        <v>0</v>
      </c>
      <c r="E554">
        <v>1</v>
      </c>
      <c r="F554">
        <v>16</v>
      </c>
      <c r="G554" t="b">
        <v>0</v>
      </c>
      <c r="H554">
        <v>2</v>
      </c>
      <c r="I554">
        <v>2</v>
      </c>
      <c r="J554">
        <v>0.32</v>
      </c>
      <c r="K554">
        <v>564</v>
      </c>
      <c r="L554">
        <v>0.34849999999999998</v>
      </c>
      <c r="M554">
        <v>0.42</v>
      </c>
      <c r="N554">
        <v>0</v>
      </c>
      <c r="O554">
        <v>14</v>
      </c>
      <c r="P554">
        <v>102</v>
      </c>
      <c r="Q554">
        <v>116</v>
      </c>
    </row>
    <row r="555" spans="1:17" x14ac:dyDescent="0.3">
      <c r="A555">
        <v>565</v>
      </c>
      <c r="B555" s="4">
        <v>40568</v>
      </c>
      <c r="C555">
        <v>1</v>
      </c>
      <c r="D555">
        <v>0</v>
      </c>
      <c r="E555">
        <v>1</v>
      </c>
      <c r="F555">
        <v>17</v>
      </c>
      <c r="G555" t="b">
        <v>0</v>
      </c>
      <c r="H555">
        <v>2</v>
      </c>
      <c r="I555">
        <v>1</v>
      </c>
      <c r="J555">
        <v>0.3</v>
      </c>
      <c r="K555">
        <v>565</v>
      </c>
      <c r="L555">
        <v>0.33329999999999999</v>
      </c>
      <c r="M555">
        <v>0.45</v>
      </c>
      <c r="N555">
        <v>0</v>
      </c>
      <c r="O555">
        <v>14</v>
      </c>
      <c r="P555">
        <v>208</v>
      </c>
      <c r="Q555">
        <v>222</v>
      </c>
    </row>
    <row r="556" spans="1:17" x14ac:dyDescent="0.3">
      <c r="A556">
        <v>566</v>
      </c>
      <c r="B556" s="4">
        <v>40568</v>
      </c>
      <c r="C556">
        <v>1</v>
      </c>
      <c r="D556">
        <v>0</v>
      </c>
      <c r="E556">
        <v>1</v>
      </c>
      <c r="F556">
        <v>18</v>
      </c>
      <c r="G556" t="b">
        <v>0</v>
      </c>
      <c r="H556">
        <v>2</v>
      </c>
      <c r="I556">
        <v>2</v>
      </c>
      <c r="J556">
        <v>0.3</v>
      </c>
      <c r="K556">
        <v>566</v>
      </c>
      <c r="L556">
        <v>0.31819999999999998</v>
      </c>
      <c r="M556">
        <v>0.49</v>
      </c>
      <c r="N556">
        <v>8.9599999999999999E-2</v>
      </c>
      <c r="O556">
        <v>7</v>
      </c>
      <c r="P556">
        <v>218</v>
      </c>
      <c r="Q556">
        <v>225</v>
      </c>
    </row>
    <row r="557" spans="1:17" x14ac:dyDescent="0.3">
      <c r="A557">
        <v>567</v>
      </c>
      <c r="B557" s="4">
        <v>40568</v>
      </c>
      <c r="C557">
        <v>1</v>
      </c>
      <c r="D557">
        <v>0</v>
      </c>
      <c r="E557">
        <v>1</v>
      </c>
      <c r="F557">
        <v>19</v>
      </c>
      <c r="G557" t="b">
        <v>0</v>
      </c>
      <c r="H557">
        <v>2</v>
      </c>
      <c r="I557">
        <v>2</v>
      </c>
      <c r="J557">
        <v>0.26</v>
      </c>
      <c r="K557">
        <v>567</v>
      </c>
      <c r="L557">
        <v>0.2576</v>
      </c>
      <c r="M557">
        <v>0.65</v>
      </c>
      <c r="N557">
        <v>0.16420000000000001</v>
      </c>
      <c r="O557">
        <v>13</v>
      </c>
      <c r="P557">
        <v>133</v>
      </c>
      <c r="Q557">
        <v>146</v>
      </c>
    </row>
    <row r="558" spans="1:17" x14ac:dyDescent="0.3">
      <c r="A558">
        <v>568</v>
      </c>
      <c r="B558" s="4">
        <v>40568</v>
      </c>
      <c r="C558">
        <v>1</v>
      </c>
      <c r="D558">
        <v>0</v>
      </c>
      <c r="E558">
        <v>1</v>
      </c>
      <c r="F558">
        <v>20</v>
      </c>
      <c r="G558" t="b">
        <v>0</v>
      </c>
      <c r="H558">
        <v>2</v>
      </c>
      <c r="I558">
        <v>1</v>
      </c>
      <c r="J558">
        <v>0.24</v>
      </c>
      <c r="K558">
        <v>568</v>
      </c>
      <c r="L558">
        <v>0.2273</v>
      </c>
      <c r="M558">
        <v>0.65</v>
      </c>
      <c r="N558">
        <v>0.19400000000000001</v>
      </c>
      <c r="O558">
        <v>16</v>
      </c>
      <c r="P558">
        <v>103</v>
      </c>
      <c r="Q558">
        <v>119</v>
      </c>
    </row>
    <row r="559" spans="1:17" x14ac:dyDescent="0.3">
      <c r="A559">
        <v>569</v>
      </c>
      <c r="B559" s="4">
        <v>40568</v>
      </c>
      <c r="C559">
        <v>1</v>
      </c>
      <c r="D559">
        <v>0</v>
      </c>
      <c r="E559">
        <v>1</v>
      </c>
      <c r="F559">
        <v>21</v>
      </c>
      <c r="G559" t="b">
        <v>0</v>
      </c>
      <c r="H559">
        <v>2</v>
      </c>
      <c r="I559">
        <v>1</v>
      </c>
      <c r="J559">
        <v>0.24</v>
      </c>
      <c r="K559">
        <v>569</v>
      </c>
      <c r="L559">
        <v>0.2273</v>
      </c>
      <c r="M559">
        <v>0.65</v>
      </c>
      <c r="N559">
        <v>0.19400000000000001</v>
      </c>
      <c r="O559">
        <v>5</v>
      </c>
      <c r="P559">
        <v>40</v>
      </c>
      <c r="Q559">
        <v>45</v>
      </c>
    </row>
    <row r="560" spans="1:17" x14ac:dyDescent="0.3">
      <c r="A560">
        <v>570</v>
      </c>
      <c r="B560" s="4">
        <v>40568</v>
      </c>
      <c r="C560">
        <v>1</v>
      </c>
      <c r="D560">
        <v>0</v>
      </c>
      <c r="E560">
        <v>1</v>
      </c>
      <c r="F560">
        <v>22</v>
      </c>
      <c r="G560" t="b">
        <v>0</v>
      </c>
      <c r="H560">
        <v>2</v>
      </c>
      <c r="I560">
        <v>1</v>
      </c>
      <c r="J560">
        <v>0.22</v>
      </c>
      <c r="K560">
        <v>570</v>
      </c>
      <c r="L560">
        <v>0.2273</v>
      </c>
      <c r="M560">
        <v>0.64</v>
      </c>
      <c r="N560">
        <v>0.16420000000000001</v>
      </c>
      <c r="O560">
        <v>4</v>
      </c>
      <c r="P560">
        <v>49</v>
      </c>
      <c r="Q560">
        <v>53</v>
      </c>
    </row>
    <row r="561" spans="1:17" x14ac:dyDescent="0.3">
      <c r="A561">
        <v>571</v>
      </c>
      <c r="B561" s="4">
        <v>40568</v>
      </c>
      <c r="C561">
        <v>1</v>
      </c>
      <c r="D561">
        <v>0</v>
      </c>
      <c r="E561">
        <v>1</v>
      </c>
      <c r="F561">
        <v>23</v>
      </c>
      <c r="G561" t="b">
        <v>0</v>
      </c>
      <c r="H561">
        <v>2</v>
      </c>
      <c r="I561">
        <v>2</v>
      </c>
      <c r="J561">
        <v>0.22</v>
      </c>
      <c r="K561">
        <v>571</v>
      </c>
      <c r="L561">
        <v>0.2273</v>
      </c>
      <c r="M561">
        <v>0.64</v>
      </c>
      <c r="N561">
        <v>0.16420000000000001</v>
      </c>
      <c r="O561">
        <v>3</v>
      </c>
      <c r="P561">
        <v>37</v>
      </c>
      <c r="Q561">
        <v>40</v>
      </c>
    </row>
    <row r="562" spans="1:17" x14ac:dyDescent="0.3">
      <c r="A562">
        <v>572</v>
      </c>
      <c r="B562" s="4">
        <v>40569</v>
      </c>
      <c r="C562">
        <v>1</v>
      </c>
      <c r="D562">
        <v>0</v>
      </c>
      <c r="E562">
        <v>1</v>
      </c>
      <c r="F562">
        <v>0</v>
      </c>
      <c r="G562" t="b">
        <v>0</v>
      </c>
      <c r="H562">
        <v>3</v>
      </c>
      <c r="I562">
        <v>2</v>
      </c>
      <c r="J562">
        <v>0.22</v>
      </c>
      <c r="K562">
        <v>572</v>
      </c>
      <c r="L562">
        <v>0.2273</v>
      </c>
      <c r="M562">
        <v>0.69</v>
      </c>
      <c r="N562">
        <v>0.1343</v>
      </c>
      <c r="O562">
        <v>3</v>
      </c>
      <c r="P562">
        <v>14</v>
      </c>
      <c r="Q562">
        <v>17</v>
      </c>
    </row>
    <row r="563" spans="1:17" x14ac:dyDescent="0.3">
      <c r="A563">
        <v>573</v>
      </c>
      <c r="B563" s="4">
        <v>40569</v>
      </c>
      <c r="C563">
        <v>1</v>
      </c>
      <c r="D563">
        <v>0</v>
      </c>
      <c r="E563">
        <v>1</v>
      </c>
      <c r="F563">
        <v>1</v>
      </c>
      <c r="G563" t="b">
        <v>0</v>
      </c>
      <c r="H563">
        <v>3</v>
      </c>
      <c r="I563">
        <v>2</v>
      </c>
      <c r="J563">
        <v>0.24</v>
      </c>
      <c r="K563">
        <v>573</v>
      </c>
      <c r="L563">
        <v>0.2424</v>
      </c>
      <c r="M563">
        <v>0.65</v>
      </c>
      <c r="N563">
        <v>0.1343</v>
      </c>
      <c r="O563">
        <v>0</v>
      </c>
      <c r="P563">
        <v>5</v>
      </c>
      <c r="Q563">
        <v>5</v>
      </c>
    </row>
    <row r="564" spans="1:17" x14ac:dyDescent="0.3">
      <c r="A564">
        <v>574</v>
      </c>
      <c r="B564" s="4">
        <v>40569</v>
      </c>
      <c r="C564">
        <v>1</v>
      </c>
      <c r="D564">
        <v>0</v>
      </c>
      <c r="E564">
        <v>1</v>
      </c>
      <c r="F564">
        <v>2</v>
      </c>
      <c r="G564" t="b">
        <v>0</v>
      </c>
      <c r="H564">
        <v>3</v>
      </c>
      <c r="I564">
        <v>3</v>
      </c>
      <c r="J564">
        <v>0.22</v>
      </c>
      <c r="K564">
        <v>574</v>
      </c>
      <c r="L564">
        <v>0.2273</v>
      </c>
      <c r="M564">
        <v>0.69</v>
      </c>
      <c r="N564">
        <v>0.19400000000000001</v>
      </c>
      <c r="O564">
        <v>3</v>
      </c>
      <c r="P564">
        <v>7</v>
      </c>
      <c r="Q564">
        <v>10</v>
      </c>
    </row>
    <row r="565" spans="1:17" x14ac:dyDescent="0.3">
      <c r="A565">
        <v>575</v>
      </c>
      <c r="B565" s="4">
        <v>40569</v>
      </c>
      <c r="C565">
        <v>1</v>
      </c>
      <c r="D565">
        <v>0</v>
      </c>
      <c r="E565">
        <v>1</v>
      </c>
      <c r="F565">
        <v>5</v>
      </c>
      <c r="G565" t="b">
        <v>0</v>
      </c>
      <c r="H565">
        <v>3</v>
      </c>
      <c r="I565">
        <v>3</v>
      </c>
      <c r="J565">
        <v>0.2</v>
      </c>
      <c r="K565">
        <v>575</v>
      </c>
      <c r="L565">
        <v>0.18179999999999999</v>
      </c>
      <c r="M565">
        <v>0.86</v>
      </c>
      <c r="N565">
        <v>0.28360000000000002</v>
      </c>
      <c r="O565">
        <v>0</v>
      </c>
      <c r="P565">
        <v>1</v>
      </c>
      <c r="Q565">
        <v>1</v>
      </c>
    </row>
    <row r="566" spans="1:17" x14ac:dyDescent="0.3">
      <c r="A566">
        <v>576</v>
      </c>
      <c r="B566" s="4">
        <v>40569</v>
      </c>
      <c r="C566">
        <v>1</v>
      </c>
      <c r="D566">
        <v>0</v>
      </c>
      <c r="E566">
        <v>1</v>
      </c>
      <c r="F566">
        <v>6</v>
      </c>
      <c r="G566" t="b">
        <v>0</v>
      </c>
      <c r="H566">
        <v>3</v>
      </c>
      <c r="I566">
        <v>3</v>
      </c>
      <c r="J566">
        <v>0.2</v>
      </c>
      <c r="K566">
        <v>576</v>
      </c>
      <c r="L566">
        <v>0.18179999999999999</v>
      </c>
      <c r="M566">
        <v>0.86</v>
      </c>
      <c r="N566">
        <v>0.28360000000000002</v>
      </c>
      <c r="O566">
        <v>0</v>
      </c>
      <c r="P566">
        <v>8</v>
      </c>
      <c r="Q566">
        <v>8</v>
      </c>
    </row>
    <row r="567" spans="1:17" x14ac:dyDescent="0.3">
      <c r="A567">
        <v>577</v>
      </c>
      <c r="B567" s="4">
        <v>40569</v>
      </c>
      <c r="C567">
        <v>1</v>
      </c>
      <c r="D567">
        <v>0</v>
      </c>
      <c r="E567">
        <v>1</v>
      </c>
      <c r="F567">
        <v>7</v>
      </c>
      <c r="G567" t="b">
        <v>0</v>
      </c>
      <c r="H567">
        <v>3</v>
      </c>
      <c r="I567">
        <v>3</v>
      </c>
      <c r="J567">
        <v>0.22</v>
      </c>
      <c r="K567">
        <v>577</v>
      </c>
      <c r="L567">
        <v>0.21210000000000001</v>
      </c>
      <c r="M567">
        <v>0.87</v>
      </c>
      <c r="N567">
        <v>0.29849999999999999</v>
      </c>
      <c r="O567">
        <v>1</v>
      </c>
      <c r="P567">
        <v>29</v>
      </c>
      <c r="Q567">
        <v>30</v>
      </c>
    </row>
    <row r="568" spans="1:17" x14ac:dyDescent="0.3">
      <c r="A568">
        <v>578</v>
      </c>
      <c r="B568" s="4">
        <v>40569</v>
      </c>
      <c r="C568">
        <v>1</v>
      </c>
      <c r="D568">
        <v>0</v>
      </c>
      <c r="E568">
        <v>1</v>
      </c>
      <c r="F568">
        <v>8</v>
      </c>
      <c r="G568" t="b">
        <v>0</v>
      </c>
      <c r="H568">
        <v>3</v>
      </c>
      <c r="I568">
        <v>3</v>
      </c>
      <c r="J568">
        <v>0.22</v>
      </c>
      <c r="K568">
        <v>578</v>
      </c>
      <c r="L568">
        <v>0.21210000000000001</v>
      </c>
      <c r="M568">
        <v>0.87</v>
      </c>
      <c r="N568">
        <v>0.29849999999999999</v>
      </c>
      <c r="O568">
        <v>3</v>
      </c>
      <c r="P568">
        <v>69</v>
      </c>
      <c r="Q568">
        <v>72</v>
      </c>
    </row>
    <row r="569" spans="1:17" x14ac:dyDescent="0.3">
      <c r="A569">
        <v>579</v>
      </c>
      <c r="B569" s="4">
        <v>40569</v>
      </c>
      <c r="C569">
        <v>1</v>
      </c>
      <c r="D569">
        <v>0</v>
      </c>
      <c r="E569">
        <v>1</v>
      </c>
      <c r="F569">
        <v>9</v>
      </c>
      <c r="G569" t="b">
        <v>0</v>
      </c>
      <c r="H569">
        <v>3</v>
      </c>
      <c r="I569">
        <v>3</v>
      </c>
      <c r="J569">
        <v>0.22</v>
      </c>
      <c r="K569">
        <v>579</v>
      </c>
      <c r="L569">
        <v>0.21210000000000001</v>
      </c>
      <c r="M569">
        <v>0.87</v>
      </c>
      <c r="N569">
        <v>0.29849999999999999</v>
      </c>
      <c r="O569">
        <v>3</v>
      </c>
      <c r="P569">
        <v>55</v>
      </c>
      <c r="Q569">
        <v>58</v>
      </c>
    </row>
    <row r="570" spans="1:17" x14ac:dyDescent="0.3">
      <c r="A570">
        <v>580</v>
      </c>
      <c r="B570" s="4">
        <v>40569</v>
      </c>
      <c r="C570">
        <v>1</v>
      </c>
      <c r="D570">
        <v>0</v>
      </c>
      <c r="E570">
        <v>1</v>
      </c>
      <c r="F570">
        <v>10</v>
      </c>
      <c r="G570" t="b">
        <v>0</v>
      </c>
      <c r="H570">
        <v>3</v>
      </c>
      <c r="I570">
        <v>3</v>
      </c>
      <c r="J570">
        <v>0.22</v>
      </c>
      <c r="K570">
        <v>580</v>
      </c>
      <c r="L570">
        <v>0.21210000000000001</v>
      </c>
      <c r="M570">
        <v>0.93</v>
      </c>
      <c r="N570">
        <v>0.28360000000000002</v>
      </c>
      <c r="O570">
        <v>2</v>
      </c>
      <c r="P570">
        <v>26</v>
      </c>
      <c r="Q570">
        <v>28</v>
      </c>
    </row>
    <row r="571" spans="1:17" x14ac:dyDescent="0.3">
      <c r="A571">
        <v>581</v>
      </c>
      <c r="B571" s="4">
        <v>40569</v>
      </c>
      <c r="C571">
        <v>1</v>
      </c>
      <c r="D571">
        <v>0</v>
      </c>
      <c r="E571">
        <v>1</v>
      </c>
      <c r="F571">
        <v>11</v>
      </c>
      <c r="G571" t="b">
        <v>0</v>
      </c>
      <c r="H571">
        <v>3</v>
      </c>
      <c r="I571">
        <v>3</v>
      </c>
      <c r="J571">
        <v>0.22</v>
      </c>
      <c r="K571">
        <v>581</v>
      </c>
      <c r="L571">
        <v>0.19700000000000001</v>
      </c>
      <c r="M571">
        <v>0.93</v>
      </c>
      <c r="N571">
        <v>0.32840000000000003</v>
      </c>
      <c r="O571">
        <v>6</v>
      </c>
      <c r="P571">
        <v>35</v>
      </c>
      <c r="Q571">
        <v>41</v>
      </c>
    </row>
    <row r="572" spans="1:17" x14ac:dyDescent="0.3">
      <c r="A572">
        <v>582</v>
      </c>
      <c r="B572" s="4">
        <v>40569</v>
      </c>
      <c r="C572">
        <v>1</v>
      </c>
      <c r="D572">
        <v>0</v>
      </c>
      <c r="E572">
        <v>1</v>
      </c>
      <c r="F572">
        <v>12</v>
      </c>
      <c r="G572" t="b">
        <v>0</v>
      </c>
      <c r="H572">
        <v>3</v>
      </c>
      <c r="I572">
        <v>3</v>
      </c>
      <c r="J572">
        <v>0.22</v>
      </c>
      <c r="K572">
        <v>582</v>
      </c>
      <c r="L572">
        <v>0.19700000000000001</v>
      </c>
      <c r="M572">
        <v>0.93</v>
      </c>
      <c r="N572">
        <v>0.32840000000000003</v>
      </c>
      <c r="O572">
        <v>7</v>
      </c>
      <c r="P572">
        <v>41</v>
      </c>
      <c r="Q572">
        <v>48</v>
      </c>
    </row>
    <row r="573" spans="1:17" x14ac:dyDescent="0.3">
      <c r="A573">
        <v>583</v>
      </c>
      <c r="B573" s="4">
        <v>40569</v>
      </c>
      <c r="C573">
        <v>1</v>
      </c>
      <c r="D573">
        <v>0</v>
      </c>
      <c r="E573">
        <v>1</v>
      </c>
      <c r="F573">
        <v>13</v>
      </c>
      <c r="G573" t="b">
        <v>0</v>
      </c>
      <c r="H573">
        <v>3</v>
      </c>
      <c r="I573">
        <v>3</v>
      </c>
      <c r="J573">
        <v>0.22</v>
      </c>
      <c r="K573">
        <v>583</v>
      </c>
      <c r="L573">
        <v>0.19700000000000001</v>
      </c>
      <c r="M573">
        <v>0.93</v>
      </c>
      <c r="N573">
        <v>0.32840000000000003</v>
      </c>
      <c r="O573">
        <v>4</v>
      </c>
      <c r="P573">
        <v>43</v>
      </c>
      <c r="Q573">
        <v>47</v>
      </c>
    </row>
    <row r="574" spans="1:17" x14ac:dyDescent="0.3">
      <c r="A574">
        <v>584</v>
      </c>
      <c r="B574" s="4">
        <v>40569</v>
      </c>
      <c r="C574">
        <v>1</v>
      </c>
      <c r="D574">
        <v>0</v>
      </c>
      <c r="E574">
        <v>1</v>
      </c>
      <c r="F574">
        <v>14</v>
      </c>
      <c r="G574" t="b">
        <v>0</v>
      </c>
      <c r="H574">
        <v>3</v>
      </c>
      <c r="I574">
        <v>3</v>
      </c>
      <c r="J574">
        <v>0.22</v>
      </c>
      <c r="K574">
        <v>584</v>
      </c>
      <c r="L574">
        <v>0.19700000000000001</v>
      </c>
      <c r="M574">
        <v>0.93</v>
      </c>
      <c r="N574">
        <v>0.35820000000000002</v>
      </c>
      <c r="O574">
        <v>0</v>
      </c>
      <c r="P574">
        <v>36</v>
      </c>
      <c r="Q574">
        <v>36</v>
      </c>
    </row>
    <row r="575" spans="1:17" x14ac:dyDescent="0.3">
      <c r="A575">
        <v>585</v>
      </c>
      <c r="B575" s="4">
        <v>40569</v>
      </c>
      <c r="C575">
        <v>1</v>
      </c>
      <c r="D575">
        <v>0</v>
      </c>
      <c r="E575">
        <v>1</v>
      </c>
      <c r="F575">
        <v>15</v>
      </c>
      <c r="G575" t="b">
        <v>0</v>
      </c>
      <c r="H575">
        <v>3</v>
      </c>
      <c r="I575">
        <v>3</v>
      </c>
      <c r="J575">
        <v>0.22</v>
      </c>
      <c r="K575">
        <v>585</v>
      </c>
      <c r="L575">
        <v>0.18179999999999999</v>
      </c>
      <c r="M575">
        <v>0.93</v>
      </c>
      <c r="N575">
        <v>0.4627</v>
      </c>
      <c r="O575">
        <v>1</v>
      </c>
      <c r="P575">
        <v>42</v>
      </c>
      <c r="Q575">
        <v>43</v>
      </c>
    </row>
    <row r="576" spans="1:17" x14ac:dyDescent="0.3">
      <c r="A576">
        <v>586</v>
      </c>
      <c r="B576" s="4">
        <v>40569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3</v>
      </c>
      <c r="I576">
        <v>4</v>
      </c>
      <c r="J576">
        <v>0.22</v>
      </c>
      <c r="K576">
        <v>586</v>
      </c>
      <c r="L576">
        <v>0.19700000000000001</v>
      </c>
      <c r="M576">
        <v>0.93</v>
      </c>
      <c r="N576">
        <v>0.32840000000000003</v>
      </c>
      <c r="O576">
        <v>1</v>
      </c>
      <c r="P576">
        <v>35</v>
      </c>
      <c r="Q576">
        <v>36</v>
      </c>
    </row>
    <row r="577" spans="1:17" x14ac:dyDescent="0.3">
      <c r="A577">
        <v>587</v>
      </c>
      <c r="B577" s="4">
        <v>40569</v>
      </c>
      <c r="C577">
        <v>1</v>
      </c>
      <c r="D577">
        <v>0</v>
      </c>
      <c r="E577">
        <v>1</v>
      </c>
      <c r="F577">
        <v>17</v>
      </c>
      <c r="G577" t="b">
        <v>0</v>
      </c>
      <c r="H577">
        <v>3</v>
      </c>
      <c r="I577">
        <v>3</v>
      </c>
      <c r="J577">
        <v>0.2</v>
      </c>
      <c r="K577">
        <v>587</v>
      </c>
      <c r="L577">
        <v>0.18179999999999999</v>
      </c>
      <c r="M577">
        <v>0.93</v>
      </c>
      <c r="N577">
        <v>0.35820000000000002</v>
      </c>
      <c r="O577">
        <v>0</v>
      </c>
      <c r="P577">
        <v>26</v>
      </c>
      <c r="Q577">
        <v>26</v>
      </c>
    </row>
    <row r="578" spans="1:17" x14ac:dyDescent="0.3">
      <c r="A578">
        <v>588</v>
      </c>
      <c r="B578" s="4">
        <v>40570</v>
      </c>
      <c r="C578">
        <v>1</v>
      </c>
      <c r="D578">
        <v>0</v>
      </c>
      <c r="E578">
        <v>1</v>
      </c>
      <c r="F578">
        <v>16</v>
      </c>
      <c r="G578" t="b">
        <v>0</v>
      </c>
      <c r="H578">
        <v>4</v>
      </c>
      <c r="I578">
        <v>1</v>
      </c>
      <c r="J578">
        <v>0.22</v>
      </c>
      <c r="K578">
        <v>588</v>
      </c>
      <c r="L578">
        <v>0.2273</v>
      </c>
      <c r="M578">
        <v>0.55000000000000004</v>
      </c>
      <c r="N578">
        <v>0.19400000000000001</v>
      </c>
      <c r="O578">
        <v>1</v>
      </c>
      <c r="P578">
        <v>23</v>
      </c>
      <c r="Q578">
        <v>24</v>
      </c>
    </row>
    <row r="579" spans="1:17" x14ac:dyDescent="0.3">
      <c r="A579">
        <v>589</v>
      </c>
      <c r="B579" s="4">
        <v>40570</v>
      </c>
      <c r="C579">
        <v>1</v>
      </c>
      <c r="D579">
        <v>0</v>
      </c>
      <c r="E579">
        <v>1</v>
      </c>
      <c r="F579">
        <v>17</v>
      </c>
      <c r="G579" t="b">
        <v>0</v>
      </c>
      <c r="H579">
        <v>4</v>
      </c>
      <c r="I579">
        <v>1</v>
      </c>
      <c r="J579">
        <v>0.22</v>
      </c>
      <c r="K579">
        <v>589</v>
      </c>
      <c r="L579">
        <v>0.2424</v>
      </c>
      <c r="M579">
        <v>0.55000000000000004</v>
      </c>
      <c r="N579">
        <v>0.1045</v>
      </c>
      <c r="O579">
        <v>2</v>
      </c>
      <c r="P579">
        <v>82</v>
      </c>
      <c r="Q579">
        <v>84</v>
      </c>
    </row>
    <row r="580" spans="1:17" x14ac:dyDescent="0.3">
      <c r="A580">
        <v>590</v>
      </c>
      <c r="B580" s="4">
        <v>40570</v>
      </c>
      <c r="C580">
        <v>1</v>
      </c>
      <c r="D580">
        <v>0</v>
      </c>
      <c r="E580">
        <v>1</v>
      </c>
      <c r="F580">
        <v>18</v>
      </c>
      <c r="G580" t="b">
        <v>0</v>
      </c>
      <c r="H580">
        <v>4</v>
      </c>
      <c r="I580">
        <v>1</v>
      </c>
      <c r="J580">
        <v>0.2</v>
      </c>
      <c r="K580">
        <v>590</v>
      </c>
      <c r="L580">
        <v>0.2273</v>
      </c>
      <c r="M580">
        <v>0.69</v>
      </c>
      <c r="N580">
        <v>8.9599999999999999E-2</v>
      </c>
      <c r="O580">
        <v>3</v>
      </c>
      <c r="P580">
        <v>101</v>
      </c>
      <c r="Q580">
        <v>104</v>
      </c>
    </row>
    <row r="581" spans="1:17" x14ac:dyDescent="0.3">
      <c r="A581">
        <v>591</v>
      </c>
      <c r="B581" s="4">
        <v>40570</v>
      </c>
      <c r="C581">
        <v>1</v>
      </c>
      <c r="D581">
        <v>0</v>
      </c>
      <c r="E581">
        <v>1</v>
      </c>
      <c r="F581">
        <v>19</v>
      </c>
      <c r="G581" t="b">
        <v>0</v>
      </c>
      <c r="H581">
        <v>4</v>
      </c>
      <c r="I581">
        <v>1</v>
      </c>
      <c r="J581">
        <v>0.2</v>
      </c>
      <c r="K581">
        <v>591</v>
      </c>
      <c r="L581">
        <v>0.2273</v>
      </c>
      <c r="M581">
        <v>0.69</v>
      </c>
      <c r="N581">
        <v>8.9599999999999999E-2</v>
      </c>
      <c r="O581">
        <v>3</v>
      </c>
      <c r="P581">
        <v>76</v>
      </c>
      <c r="Q581">
        <v>79</v>
      </c>
    </row>
    <row r="582" spans="1:17" x14ac:dyDescent="0.3">
      <c r="A582">
        <v>592</v>
      </c>
      <c r="B582" s="4">
        <v>40570</v>
      </c>
      <c r="C582">
        <v>1</v>
      </c>
      <c r="D582">
        <v>0</v>
      </c>
      <c r="E582">
        <v>1</v>
      </c>
      <c r="F582">
        <v>20</v>
      </c>
      <c r="G582" t="b">
        <v>0</v>
      </c>
      <c r="H582">
        <v>4</v>
      </c>
      <c r="I582">
        <v>1</v>
      </c>
      <c r="J582">
        <v>0.18</v>
      </c>
      <c r="K582">
        <v>592</v>
      </c>
      <c r="L582">
        <v>0.21210000000000001</v>
      </c>
      <c r="M582">
        <v>0.74</v>
      </c>
      <c r="N582">
        <v>8.9599999999999999E-2</v>
      </c>
      <c r="O582">
        <v>4</v>
      </c>
      <c r="P582">
        <v>55</v>
      </c>
      <c r="Q582">
        <v>59</v>
      </c>
    </row>
    <row r="583" spans="1:17" x14ac:dyDescent="0.3">
      <c r="A583">
        <v>593</v>
      </c>
      <c r="B583" s="4">
        <v>40570</v>
      </c>
      <c r="C583">
        <v>1</v>
      </c>
      <c r="D583">
        <v>0</v>
      </c>
      <c r="E583">
        <v>1</v>
      </c>
      <c r="F583">
        <v>21</v>
      </c>
      <c r="G583" t="b">
        <v>0</v>
      </c>
      <c r="H583">
        <v>4</v>
      </c>
      <c r="I583">
        <v>1</v>
      </c>
      <c r="J583">
        <v>0.18</v>
      </c>
      <c r="K583">
        <v>593</v>
      </c>
      <c r="L583">
        <v>0.21210000000000001</v>
      </c>
      <c r="M583">
        <v>0.74</v>
      </c>
      <c r="N583">
        <v>8.9599999999999999E-2</v>
      </c>
      <c r="O583">
        <v>2</v>
      </c>
      <c r="P583">
        <v>36</v>
      </c>
      <c r="Q583">
        <v>38</v>
      </c>
    </row>
    <row r="584" spans="1:17" x14ac:dyDescent="0.3">
      <c r="A584">
        <v>594</v>
      </c>
      <c r="B584" s="4">
        <v>40570</v>
      </c>
      <c r="C584">
        <v>1</v>
      </c>
      <c r="D584">
        <v>0</v>
      </c>
      <c r="E584">
        <v>1</v>
      </c>
      <c r="F584">
        <v>22</v>
      </c>
      <c r="G584" t="b">
        <v>0</v>
      </c>
      <c r="H584">
        <v>4</v>
      </c>
      <c r="I584">
        <v>1</v>
      </c>
      <c r="J584">
        <v>0.18</v>
      </c>
      <c r="K584">
        <v>594</v>
      </c>
      <c r="L584">
        <v>0.21210000000000001</v>
      </c>
      <c r="M584">
        <v>0.74</v>
      </c>
      <c r="N584">
        <v>8.9599999999999999E-2</v>
      </c>
      <c r="O584">
        <v>0</v>
      </c>
      <c r="P584">
        <v>27</v>
      </c>
      <c r="Q584">
        <v>27</v>
      </c>
    </row>
    <row r="585" spans="1:17" x14ac:dyDescent="0.3">
      <c r="A585">
        <v>595</v>
      </c>
      <c r="B585" s="4">
        <v>40570</v>
      </c>
      <c r="C585">
        <v>1</v>
      </c>
      <c r="D585">
        <v>0</v>
      </c>
      <c r="E585">
        <v>1</v>
      </c>
      <c r="F585">
        <v>23</v>
      </c>
      <c r="G585" t="b">
        <v>0</v>
      </c>
      <c r="H585">
        <v>4</v>
      </c>
      <c r="I585">
        <v>1</v>
      </c>
      <c r="J585">
        <v>0.18</v>
      </c>
      <c r="K585">
        <v>595</v>
      </c>
      <c r="L585">
        <v>0.19700000000000001</v>
      </c>
      <c r="M585">
        <v>0.8</v>
      </c>
      <c r="N585">
        <v>0.16420000000000001</v>
      </c>
      <c r="O585">
        <v>0</v>
      </c>
      <c r="P585">
        <v>16</v>
      </c>
      <c r="Q585">
        <v>16</v>
      </c>
    </row>
    <row r="586" spans="1:17" x14ac:dyDescent="0.3">
      <c r="A586">
        <v>596</v>
      </c>
      <c r="B586" s="4">
        <v>40571</v>
      </c>
      <c r="C586">
        <v>1</v>
      </c>
      <c r="D586">
        <v>0</v>
      </c>
      <c r="E586">
        <v>1</v>
      </c>
      <c r="F586">
        <v>0</v>
      </c>
      <c r="G586" t="b">
        <v>0</v>
      </c>
      <c r="H586">
        <v>5</v>
      </c>
      <c r="I586">
        <v>2</v>
      </c>
      <c r="J586">
        <v>0.2</v>
      </c>
      <c r="K586">
        <v>596</v>
      </c>
      <c r="L586">
        <v>0.21210000000000001</v>
      </c>
      <c r="M586">
        <v>0.75</v>
      </c>
      <c r="N586">
        <v>0.1343</v>
      </c>
      <c r="O586">
        <v>0</v>
      </c>
      <c r="P586">
        <v>9</v>
      </c>
      <c r="Q586">
        <v>9</v>
      </c>
    </row>
    <row r="587" spans="1:17" x14ac:dyDescent="0.3">
      <c r="A587">
        <v>597</v>
      </c>
      <c r="B587" s="4">
        <v>40571</v>
      </c>
      <c r="C587">
        <v>1</v>
      </c>
      <c r="D587">
        <v>0</v>
      </c>
      <c r="E587">
        <v>1</v>
      </c>
      <c r="F587">
        <v>1</v>
      </c>
      <c r="G587" t="b">
        <v>0</v>
      </c>
      <c r="H587">
        <v>5</v>
      </c>
      <c r="I587">
        <v>2</v>
      </c>
      <c r="J587">
        <v>0.2</v>
      </c>
      <c r="K587">
        <v>597</v>
      </c>
      <c r="L587">
        <v>0.21210000000000001</v>
      </c>
      <c r="M587">
        <v>0.75</v>
      </c>
      <c r="N587">
        <v>0.1343</v>
      </c>
      <c r="O587">
        <v>1</v>
      </c>
      <c r="P587">
        <v>2</v>
      </c>
      <c r="Q587">
        <v>3</v>
      </c>
    </row>
    <row r="588" spans="1:17" x14ac:dyDescent="0.3">
      <c r="A588">
        <v>598</v>
      </c>
      <c r="B588" s="4">
        <v>40571</v>
      </c>
      <c r="C588">
        <v>1</v>
      </c>
      <c r="D588">
        <v>0</v>
      </c>
      <c r="E588">
        <v>1</v>
      </c>
      <c r="F588">
        <v>2</v>
      </c>
      <c r="G588" t="b">
        <v>0</v>
      </c>
      <c r="H588">
        <v>5</v>
      </c>
      <c r="I588">
        <v>2</v>
      </c>
      <c r="J588">
        <v>0.2</v>
      </c>
      <c r="K588">
        <v>598</v>
      </c>
      <c r="L588">
        <v>0.21210000000000001</v>
      </c>
      <c r="M588">
        <v>0.75</v>
      </c>
      <c r="N588">
        <v>0.16420000000000001</v>
      </c>
      <c r="O588">
        <v>0</v>
      </c>
      <c r="P588">
        <v>2</v>
      </c>
      <c r="Q588">
        <v>2</v>
      </c>
    </row>
    <row r="589" spans="1:17" x14ac:dyDescent="0.3">
      <c r="A589">
        <v>599</v>
      </c>
      <c r="B589" s="4">
        <v>40571</v>
      </c>
      <c r="C589">
        <v>1</v>
      </c>
      <c r="D589">
        <v>0</v>
      </c>
      <c r="E589">
        <v>1</v>
      </c>
      <c r="F589">
        <v>3</v>
      </c>
      <c r="G589" t="b">
        <v>0</v>
      </c>
      <c r="H589">
        <v>5</v>
      </c>
      <c r="I589">
        <v>2</v>
      </c>
      <c r="J589">
        <v>0.2</v>
      </c>
      <c r="K589">
        <v>599</v>
      </c>
      <c r="L589">
        <v>0.2273</v>
      </c>
      <c r="M589">
        <v>0.75</v>
      </c>
      <c r="N589">
        <v>0.1045</v>
      </c>
      <c r="O589">
        <v>1</v>
      </c>
      <c r="P589">
        <v>0</v>
      </c>
      <c r="Q589">
        <v>1</v>
      </c>
    </row>
    <row r="590" spans="1:17" x14ac:dyDescent="0.3">
      <c r="A590">
        <v>600</v>
      </c>
      <c r="B590" s="4">
        <v>40571</v>
      </c>
      <c r="C590">
        <v>1</v>
      </c>
      <c r="D590">
        <v>0</v>
      </c>
      <c r="E590">
        <v>1</v>
      </c>
      <c r="F590">
        <v>5</v>
      </c>
      <c r="G590" t="b">
        <v>0</v>
      </c>
      <c r="H590">
        <v>5</v>
      </c>
      <c r="I590">
        <v>2</v>
      </c>
      <c r="J590">
        <v>0.18</v>
      </c>
      <c r="K590">
        <v>600</v>
      </c>
      <c r="L590">
        <v>0.21210000000000001</v>
      </c>
      <c r="M590">
        <v>0.8</v>
      </c>
      <c r="N590">
        <v>0.1045</v>
      </c>
      <c r="O590">
        <v>0</v>
      </c>
      <c r="P590">
        <v>4</v>
      </c>
      <c r="Q590">
        <v>4</v>
      </c>
    </row>
    <row r="591" spans="1:17" x14ac:dyDescent="0.3">
      <c r="A591">
        <v>601</v>
      </c>
      <c r="B591" s="4">
        <v>40571</v>
      </c>
      <c r="C591">
        <v>1</v>
      </c>
      <c r="D591">
        <v>0</v>
      </c>
      <c r="E591">
        <v>1</v>
      </c>
      <c r="F591">
        <v>6</v>
      </c>
      <c r="G591" t="b">
        <v>0</v>
      </c>
      <c r="H591">
        <v>5</v>
      </c>
      <c r="I591">
        <v>2</v>
      </c>
      <c r="J591">
        <v>0.18</v>
      </c>
      <c r="K591">
        <v>601</v>
      </c>
      <c r="L591">
        <v>0.19700000000000001</v>
      </c>
      <c r="M591">
        <v>0.8</v>
      </c>
      <c r="N591">
        <v>0.1343</v>
      </c>
      <c r="O591">
        <v>0</v>
      </c>
      <c r="P591">
        <v>16</v>
      </c>
      <c r="Q591">
        <v>16</v>
      </c>
    </row>
    <row r="592" spans="1:17" x14ac:dyDescent="0.3">
      <c r="A592">
        <v>602</v>
      </c>
      <c r="B592" s="4">
        <v>40571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5</v>
      </c>
      <c r="I592">
        <v>2</v>
      </c>
      <c r="J592">
        <v>0.16</v>
      </c>
      <c r="K592">
        <v>602</v>
      </c>
      <c r="L592">
        <v>0.19700000000000001</v>
      </c>
      <c r="M592">
        <v>0.86</v>
      </c>
      <c r="N592">
        <v>8.9599999999999999E-2</v>
      </c>
      <c r="O592">
        <v>2</v>
      </c>
      <c r="P592">
        <v>58</v>
      </c>
      <c r="Q592">
        <v>60</v>
      </c>
    </row>
    <row r="593" spans="1:17" x14ac:dyDescent="0.3">
      <c r="A593">
        <v>603</v>
      </c>
      <c r="B593" s="4">
        <v>40571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5</v>
      </c>
      <c r="I593">
        <v>2</v>
      </c>
      <c r="J593">
        <v>0.16</v>
      </c>
      <c r="K593">
        <v>603</v>
      </c>
      <c r="L593">
        <v>0.19700000000000001</v>
      </c>
      <c r="M593">
        <v>0.86</v>
      </c>
      <c r="N593">
        <v>8.9599999999999999E-2</v>
      </c>
      <c r="O593">
        <v>2</v>
      </c>
      <c r="P593">
        <v>155</v>
      </c>
      <c r="Q593">
        <v>157</v>
      </c>
    </row>
    <row r="594" spans="1:17" x14ac:dyDescent="0.3">
      <c r="A594">
        <v>604</v>
      </c>
      <c r="B594" s="4">
        <v>40571</v>
      </c>
      <c r="C594">
        <v>1</v>
      </c>
      <c r="D594">
        <v>0</v>
      </c>
      <c r="E594">
        <v>1</v>
      </c>
      <c r="F594">
        <v>9</v>
      </c>
      <c r="G594" t="b">
        <v>0</v>
      </c>
      <c r="H594">
        <v>5</v>
      </c>
      <c r="I594">
        <v>3</v>
      </c>
      <c r="J594">
        <v>0.18</v>
      </c>
      <c r="K594">
        <v>604</v>
      </c>
      <c r="L594">
        <v>0.21210000000000001</v>
      </c>
      <c r="M594">
        <v>0.86</v>
      </c>
      <c r="N594">
        <v>8.9599999999999999E-2</v>
      </c>
      <c r="O594">
        <v>6</v>
      </c>
      <c r="P594">
        <v>95</v>
      </c>
      <c r="Q594">
        <v>101</v>
      </c>
    </row>
    <row r="595" spans="1:17" x14ac:dyDescent="0.3">
      <c r="A595">
        <v>605</v>
      </c>
      <c r="B595" s="4">
        <v>40571</v>
      </c>
      <c r="C595">
        <v>1</v>
      </c>
      <c r="D595">
        <v>0</v>
      </c>
      <c r="E595">
        <v>1</v>
      </c>
      <c r="F595">
        <v>10</v>
      </c>
      <c r="G595" t="b">
        <v>0</v>
      </c>
      <c r="H595">
        <v>5</v>
      </c>
      <c r="I595">
        <v>3</v>
      </c>
      <c r="J595">
        <v>0.18</v>
      </c>
      <c r="K595">
        <v>605</v>
      </c>
      <c r="L595">
        <v>0.21210000000000001</v>
      </c>
      <c r="M595">
        <v>0.86</v>
      </c>
      <c r="N595">
        <v>0.1045</v>
      </c>
      <c r="O595">
        <v>0</v>
      </c>
      <c r="P595">
        <v>49</v>
      </c>
      <c r="Q595">
        <v>49</v>
      </c>
    </row>
    <row r="596" spans="1:17" x14ac:dyDescent="0.3">
      <c r="A596">
        <v>606</v>
      </c>
      <c r="B596" s="4">
        <v>40571</v>
      </c>
      <c r="C596">
        <v>1</v>
      </c>
      <c r="D596">
        <v>0</v>
      </c>
      <c r="E596">
        <v>1</v>
      </c>
      <c r="F596">
        <v>11</v>
      </c>
      <c r="G596" t="b">
        <v>0</v>
      </c>
      <c r="H596">
        <v>5</v>
      </c>
      <c r="I596">
        <v>3</v>
      </c>
      <c r="J596">
        <v>0.18</v>
      </c>
      <c r="K596">
        <v>606</v>
      </c>
      <c r="L596">
        <v>0.21210000000000001</v>
      </c>
      <c r="M596">
        <v>0.93</v>
      </c>
      <c r="N596">
        <v>0.1045</v>
      </c>
      <c r="O596">
        <v>0</v>
      </c>
      <c r="P596">
        <v>30</v>
      </c>
      <c r="Q596">
        <v>30</v>
      </c>
    </row>
    <row r="597" spans="1:17" x14ac:dyDescent="0.3">
      <c r="A597">
        <v>607</v>
      </c>
      <c r="B597" s="4">
        <v>40571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5</v>
      </c>
      <c r="I597">
        <v>3</v>
      </c>
      <c r="J597">
        <v>0.18</v>
      </c>
      <c r="K597">
        <v>607</v>
      </c>
      <c r="L597">
        <v>0.21210000000000001</v>
      </c>
      <c r="M597">
        <v>0.93</v>
      </c>
      <c r="N597">
        <v>0.1045</v>
      </c>
      <c r="O597">
        <v>1</v>
      </c>
      <c r="P597">
        <v>28</v>
      </c>
      <c r="Q597">
        <v>29</v>
      </c>
    </row>
    <row r="598" spans="1:17" x14ac:dyDescent="0.3">
      <c r="A598">
        <v>608</v>
      </c>
      <c r="B598" s="4">
        <v>40571</v>
      </c>
      <c r="C598">
        <v>1</v>
      </c>
      <c r="D598">
        <v>0</v>
      </c>
      <c r="E598">
        <v>1</v>
      </c>
      <c r="F598">
        <v>13</v>
      </c>
      <c r="G598" t="b">
        <v>0</v>
      </c>
      <c r="H598">
        <v>5</v>
      </c>
      <c r="I598">
        <v>3</v>
      </c>
      <c r="J598">
        <v>0.18</v>
      </c>
      <c r="K598">
        <v>608</v>
      </c>
      <c r="L598">
        <v>0.21210000000000001</v>
      </c>
      <c r="M598">
        <v>0.93</v>
      </c>
      <c r="N598">
        <v>0.1045</v>
      </c>
      <c r="O598">
        <v>0</v>
      </c>
      <c r="P598">
        <v>31</v>
      </c>
      <c r="Q598">
        <v>31</v>
      </c>
    </row>
    <row r="599" spans="1:17" x14ac:dyDescent="0.3">
      <c r="A599">
        <v>609</v>
      </c>
      <c r="B599" s="4">
        <v>40571</v>
      </c>
      <c r="C599">
        <v>1</v>
      </c>
      <c r="D599">
        <v>0</v>
      </c>
      <c r="E599">
        <v>1</v>
      </c>
      <c r="F599">
        <v>14</v>
      </c>
      <c r="G599" t="b">
        <v>0</v>
      </c>
      <c r="H599">
        <v>5</v>
      </c>
      <c r="I599">
        <v>3</v>
      </c>
      <c r="J599">
        <v>0.22</v>
      </c>
      <c r="K599">
        <v>609</v>
      </c>
      <c r="L599">
        <v>0.2727</v>
      </c>
      <c r="M599">
        <v>0.8</v>
      </c>
      <c r="N599">
        <v>0</v>
      </c>
      <c r="O599">
        <v>2</v>
      </c>
      <c r="P599">
        <v>36</v>
      </c>
      <c r="Q599">
        <v>38</v>
      </c>
    </row>
    <row r="600" spans="1:17" x14ac:dyDescent="0.3">
      <c r="A600">
        <v>610</v>
      </c>
      <c r="B600" s="4">
        <v>40571</v>
      </c>
      <c r="C600">
        <v>1</v>
      </c>
      <c r="D600">
        <v>0</v>
      </c>
      <c r="E600">
        <v>1</v>
      </c>
      <c r="F600">
        <v>15</v>
      </c>
      <c r="G600" t="b">
        <v>0</v>
      </c>
      <c r="H600">
        <v>5</v>
      </c>
      <c r="I600">
        <v>2</v>
      </c>
      <c r="J600">
        <v>0.2</v>
      </c>
      <c r="K600">
        <v>610</v>
      </c>
      <c r="L600">
        <v>0.2576</v>
      </c>
      <c r="M600">
        <v>0.86</v>
      </c>
      <c r="N600">
        <v>0</v>
      </c>
      <c r="O600">
        <v>1</v>
      </c>
      <c r="P600">
        <v>40</v>
      </c>
      <c r="Q600">
        <v>41</v>
      </c>
    </row>
  </sheetData>
  <conditionalFormatting sqref="C2:C60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600">
    <cfRule type="colorScale" priority="2">
      <colorScale>
        <cfvo type="min"/>
        <cfvo type="max"/>
        <color rgb="FFFFEF9C"/>
        <color rgb="FF63BE7B"/>
      </colorScale>
    </cfRule>
  </conditionalFormatting>
  <conditionalFormatting sqref="H2:H60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00 L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4265-B5CD-4373-8B84-358840E39DA5}">
  <dimension ref="A1:U1048576"/>
  <sheetViews>
    <sheetView workbookViewId="0">
      <selection activeCell="U6" sqref="U6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3.109375" bestFit="1" customWidth="1"/>
    <col min="10" max="10" width="12" bestFit="1" customWidth="1"/>
    <col min="11" max="11" width="7.6640625" bestFit="1" customWidth="1"/>
    <col min="12" max="12" width="8.6640625" bestFit="1" customWidth="1"/>
    <col min="13" max="13" width="7.109375" bestFit="1" customWidth="1"/>
    <col min="14" max="14" width="12.33203125" bestFit="1" customWidth="1"/>
    <col min="15" max="15" width="8.44140625" bestFit="1" customWidth="1"/>
    <col min="16" max="16" width="11.5546875" bestFit="1" customWidth="1"/>
    <col min="17" max="18" width="6.5546875" customWidth="1"/>
    <col min="19" max="19" width="16.88671875" customWidth="1"/>
    <col min="21" max="21" width="29.33203125" customWidth="1"/>
    <col min="23" max="23" width="10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4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f ca="1">IF(J2="normal",1,IF(J2="mist",2,IF(J2="rain",3,4)))</f>
        <v>0</v>
      </c>
      <c r="K2">
        <v>0.24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</row>
    <row r="3" spans="1:17" x14ac:dyDescent="0.3">
      <c r="A3">
        <v>2</v>
      </c>
      <c r="B3" s="4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>
        <v>0.22</v>
      </c>
      <c r="L3">
        <v>0.2727</v>
      </c>
      <c r="M3">
        <v>0.8</v>
      </c>
      <c r="O3">
        <v>8</v>
      </c>
      <c r="P3">
        <v>32</v>
      </c>
      <c r="Q3">
        <v>40</v>
      </c>
    </row>
    <row r="4" spans="1:17" x14ac:dyDescent="0.3">
      <c r="A4">
        <v>3</v>
      </c>
      <c r="B4" s="4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>
        <v>0.22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</row>
    <row r="5" spans="1:17" x14ac:dyDescent="0.3">
      <c r="A5">
        <v>4</v>
      </c>
      <c r="B5" s="4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>
        <v>0.24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</row>
    <row r="6" spans="1:17" x14ac:dyDescent="0.3">
      <c r="A6">
        <v>5</v>
      </c>
      <c r="B6" s="4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>
        <v>0.24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</row>
    <row r="7" spans="1:17" x14ac:dyDescent="0.3">
      <c r="A7">
        <v>6</v>
      </c>
      <c r="B7" s="4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>
        <v>0.24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</row>
    <row r="8" spans="1:17" x14ac:dyDescent="0.3">
      <c r="A8">
        <v>7</v>
      </c>
      <c r="B8" s="4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>
        <v>0.22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</row>
    <row r="9" spans="1:17" x14ac:dyDescent="0.3">
      <c r="A9">
        <v>8</v>
      </c>
      <c r="B9" s="4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>
        <v>0.2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</row>
    <row r="10" spans="1:17" x14ac:dyDescent="0.3">
      <c r="A10">
        <v>9</v>
      </c>
      <c r="B10" s="4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>
        <v>0.24</v>
      </c>
      <c r="L10">
        <v>0.30299999999999999</v>
      </c>
      <c r="M10">
        <v>0.75</v>
      </c>
      <c r="N10">
        <v>0</v>
      </c>
      <c r="O10">
        <v>1</v>
      </c>
      <c r="P10">
        <v>7</v>
      </c>
      <c r="Q10">
        <v>8</v>
      </c>
    </row>
    <row r="11" spans="1:17" x14ac:dyDescent="0.3">
      <c r="A11">
        <v>10</v>
      </c>
      <c r="B11" s="4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>
        <v>0.32</v>
      </c>
      <c r="L11">
        <v>0.34849999999999998</v>
      </c>
      <c r="M11">
        <v>0.76</v>
      </c>
      <c r="N11">
        <v>0</v>
      </c>
      <c r="O11">
        <v>8</v>
      </c>
      <c r="P11">
        <v>6</v>
      </c>
      <c r="Q11">
        <v>14</v>
      </c>
    </row>
    <row r="12" spans="1:17" x14ac:dyDescent="0.3">
      <c r="A12">
        <v>11</v>
      </c>
      <c r="B12" s="4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>
        <v>0.38</v>
      </c>
      <c r="L12">
        <v>0.39389999999999997</v>
      </c>
      <c r="M12">
        <v>0.76</v>
      </c>
      <c r="N12">
        <v>0.25369999999999998</v>
      </c>
      <c r="O12">
        <v>12</v>
      </c>
      <c r="P12">
        <v>24</v>
      </c>
      <c r="Q12">
        <v>36</v>
      </c>
    </row>
    <row r="13" spans="1:17" x14ac:dyDescent="0.3">
      <c r="A13">
        <v>12</v>
      </c>
      <c r="B13" s="4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>
        <v>0.36</v>
      </c>
      <c r="L13">
        <v>0.33329999999999999</v>
      </c>
      <c r="M13">
        <v>0.81</v>
      </c>
      <c r="N13">
        <v>0.28360000000000002</v>
      </c>
      <c r="O13">
        <v>26</v>
      </c>
      <c r="P13">
        <v>30</v>
      </c>
      <c r="Q13">
        <v>56</v>
      </c>
    </row>
    <row r="14" spans="1:17" x14ac:dyDescent="0.3">
      <c r="A14">
        <v>13</v>
      </c>
      <c r="B14" s="4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>
        <v>0.42</v>
      </c>
      <c r="L14">
        <v>0.42420000000000002</v>
      </c>
      <c r="M14">
        <v>0.77</v>
      </c>
      <c r="N14">
        <v>0.28360000000000002</v>
      </c>
      <c r="O14">
        <v>29</v>
      </c>
      <c r="P14">
        <v>55</v>
      </c>
      <c r="Q14">
        <v>84</v>
      </c>
    </row>
    <row r="15" spans="1:17" x14ac:dyDescent="0.3">
      <c r="A15">
        <v>14</v>
      </c>
      <c r="B15" s="4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>
        <v>0.46</v>
      </c>
      <c r="L15">
        <v>0.45450000000000002</v>
      </c>
      <c r="M15">
        <v>0.72</v>
      </c>
      <c r="N15">
        <v>0.29849999999999999</v>
      </c>
      <c r="O15">
        <v>47</v>
      </c>
      <c r="P15">
        <v>47</v>
      </c>
      <c r="Q15">
        <v>94</v>
      </c>
    </row>
    <row r="16" spans="1:17" x14ac:dyDescent="0.3">
      <c r="A16">
        <v>15</v>
      </c>
      <c r="B16" s="4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>
        <v>0.46</v>
      </c>
      <c r="L16">
        <v>0.45450000000000002</v>
      </c>
      <c r="M16">
        <v>0.72</v>
      </c>
      <c r="N16">
        <v>0.28360000000000002</v>
      </c>
      <c r="O16">
        <v>35</v>
      </c>
      <c r="P16">
        <v>71</v>
      </c>
      <c r="Q16">
        <v>106</v>
      </c>
    </row>
    <row r="17" spans="1:17" x14ac:dyDescent="0.3">
      <c r="A17">
        <v>16</v>
      </c>
      <c r="B17" s="4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>
        <v>0.44</v>
      </c>
      <c r="L17">
        <v>0.43940000000000001</v>
      </c>
      <c r="M17">
        <v>0.77</v>
      </c>
      <c r="N17">
        <v>0.29849999999999999</v>
      </c>
      <c r="O17">
        <v>40</v>
      </c>
      <c r="P17">
        <v>70</v>
      </c>
      <c r="Q17">
        <v>110</v>
      </c>
    </row>
    <row r="18" spans="1:17" x14ac:dyDescent="0.3">
      <c r="A18">
        <v>17</v>
      </c>
      <c r="B18" s="4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>
        <v>0.42</v>
      </c>
      <c r="L18">
        <v>0.42420000000000002</v>
      </c>
      <c r="M18">
        <v>0.82</v>
      </c>
      <c r="N18">
        <v>0.29849999999999999</v>
      </c>
      <c r="O18">
        <v>41</v>
      </c>
      <c r="P18">
        <v>52</v>
      </c>
      <c r="Q18">
        <v>93</v>
      </c>
    </row>
    <row r="19" spans="1:17" x14ac:dyDescent="0.3">
      <c r="A19">
        <v>18</v>
      </c>
      <c r="B19" s="4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>
        <v>0.44</v>
      </c>
      <c r="L19">
        <v>0.42420000000000002</v>
      </c>
      <c r="M19">
        <v>0.82</v>
      </c>
      <c r="N19">
        <v>0.28360000000000002</v>
      </c>
      <c r="O19">
        <v>15</v>
      </c>
      <c r="P19">
        <v>52</v>
      </c>
      <c r="Q19">
        <v>67</v>
      </c>
    </row>
    <row r="20" spans="1:17" x14ac:dyDescent="0.3">
      <c r="A20">
        <v>19</v>
      </c>
      <c r="B20" s="4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>
        <v>0.42</v>
      </c>
      <c r="L20">
        <v>0.42420000000000002</v>
      </c>
      <c r="M20">
        <v>0.88</v>
      </c>
      <c r="N20">
        <v>0.25369999999999998</v>
      </c>
      <c r="O20">
        <v>9</v>
      </c>
      <c r="P20">
        <v>26</v>
      </c>
      <c r="Q20">
        <v>35</v>
      </c>
    </row>
    <row r="21" spans="1:17" x14ac:dyDescent="0.3">
      <c r="A21">
        <v>20</v>
      </c>
      <c r="B21" s="4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>
        <v>0.42</v>
      </c>
      <c r="L21">
        <v>0.42420000000000002</v>
      </c>
      <c r="M21">
        <v>0.88</v>
      </c>
      <c r="N21">
        <v>0.25369999999999998</v>
      </c>
      <c r="O21">
        <v>6</v>
      </c>
      <c r="P21">
        <v>31</v>
      </c>
      <c r="Q21">
        <v>37</v>
      </c>
    </row>
    <row r="22" spans="1:17" x14ac:dyDescent="0.3">
      <c r="A22">
        <v>21</v>
      </c>
      <c r="B22" s="4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>
        <v>0.4</v>
      </c>
      <c r="L22">
        <v>0.40910000000000002</v>
      </c>
      <c r="M22">
        <v>0.87</v>
      </c>
      <c r="N22">
        <v>0.25369999999999998</v>
      </c>
      <c r="O22">
        <v>11</v>
      </c>
      <c r="P22">
        <v>25</v>
      </c>
      <c r="Q22">
        <v>36</v>
      </c>
    </row>
    <row r="23" spans="1:17" x14ac:dyDescent="0.3">
      <c r="A23">
        <v>22</v>
      </c>
      <c r="B23" s="4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>
        <v>0.4</v>
      </c>
      <c r="L23">
        <v>0.40910000000000002</v>
      </c>
      <c r="M23">
        <v>0.87</v>
      </c>
      <c r="N23">
        <v>0.19400000000000001</v>
      </c>
      <c r="O23">
        <v>3</v>
      </c>
      <c r="P23">
        <v>31</v>
      </c>
      <c r="Q23">
        <v>34</v>
      </c>
    </row>
    <row r="24" spans="1:17" x14ac:dyDescent="0.3">
      <c r="A24">
        <v>23</v>
      </c>
      <c r="B24" s="4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>
        <v>0.4</v>
      </c>
      <c r="L24">
        <v>0.40910000000000002</v>
      </c>
      <c r="M24">
        <v>0.94</v>
      </c>
      <c r="N24">
        <v>0.22389999999999999</v>
      </c>
      <c r="O24">
        <v>11</v>
      </c>
      <c r="P24">
        <v>17</v>
      </c>
      <c r="Q24">
        <v>28</v>
      </c>
    </row>
    <row r="25" spans="1:17" x14ac:dyDescent="0.3">
      <c r="A25">
        <v>24</v>
      </c>
      <c r="B25" s="4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>
        <v>0.46</v>
      </c>
      <c r="L25">
        <v>0.42420000000000002</v>
      </c>
      <c r="M25">
        <v>0.88</v>
      </c>
      <c r="N25">
        <v>0.29849999999999999</v>
      </c>
      <c r="O25">
        <v>15</v>
      </c>
      <c r="P25">
        <v>24</v>
      </c>
      <c r="Q25">
        <v>39</v>
      </c>
    </row>
    <row r="26" spans="1:17" x14ac:dyDescent="0.3">
      <c r="A26">
        <v>25</v>
      </c>
      <c r="B26" s="4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>
        <v>0.46</v>
      </c>
      <c r="L26">
        <v>0.45450000000000002</v>
      </c>
      <c r="M26">
        <v>0.88</v>
      </c>
      <c r="N26">
        <v>0.29849999999999999</v>
      </c>
      <c r="O26">
        <v>4</v>
      </c>
      <c r="P26">
        <v>13</v>
      </c>
      <c r="Q26">
        <v>17</v>
      </c>
    </row>
    <row r="27" spans="1:17" x14ac:dyDescent="0.3">
      <c r="A27">
        <v>26</v>
      </c>
      <c r="B27" s="4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0.44</v>
      </c>
      <c r="L27">
        <v>0.43940000000000001</v>
      </c>
      <c r="M27">
        <v>0.94</v>
      </c>
      <c r="N27">
        <v>0.25369999999999998</v>
      </c>
      <c r="O27">
        <v>1</v>
      </c>
      <c r="P27">
        <v>16</v>
      </c>
      <c r="Q27">
        <v>17</v>
      </c>
    </row>
    <row r="28" spans="1:17" x14ac:dyDescent="0.3">
      <c r="A28">
        <v>27</v>
      </c>
      <c r="B28" s="4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>
        <v>0.42</v>
      </c>
      <c r="L28">
        <v>0.42420000000000002</v>
      </c>
      <c r="M28">
        <v>1</v>
      </c>
      <c r="N28">
        <v>0.28360000000000002</v>
      </c>
      <c r="O28">
        <v>1</v>
      </c>
      <c r="P28">
        <v>8</v>
      </c>
      <c r="Q28">
        <v>9</v>
      </c>
    </row>
    <row r="29" spans="1:17" x14ac:dyDescent="0.3">
      <c r="A29">
        <v>28</v>
      </c>
      <c r="B29" s="4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0.46</v>
      </c>
      <c r="L29">
        <v>0.45450000000000002</v>
      </c>
      <c r="M29">
        <v>0.94</v>
      </c>
      <c r="N29">
        <v>0.19400000000000001</v>
      </c>
      <c r="O29">
        <v>2</v>
      </c>
      <c r="P29">
        <v>4</v>
      </c>
      <c r="Q29">
        <v>6</v>
      </c>
    </row>
    <row r="30" spans="1:17" x14ac:dyDescent="0.3">
      <c r="A30">
        <v>29</v>
      </c>
      <c r="B30" s="4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>
        <v>0.46</v>
      </c>
      <c r="L30">
        <v>0.43940000000000001</v>
      </c>
      <c r="M30">
        <v>0.94</v>
      </c>
      <c r="N30">
        <v>0.19400000000000001</v>
      </c>
      <c r="O30">
        <v>2</v>
      </c>
      <c r="P30">
        <v>1</v>
      </c>
      <c r="Q30">
        <v>3</v>
      </c>
    </row>
    <row r="31" spans="1:17" x14ac:dyDescent="0.3">
      <c r="A31">
        <v>30</v>
      </c>
      <c r="B31" s="4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>
        <v>0.42</v>
      </c>
      <c r="L31">
        <v>0.42420000000000002</v>
      </c>
      <c r="M31">
        <v>0.77</v>
      </c>
      <c r="N31">
        <v>0.29849999999999999</v>
      </c>
      <c r="O31">
        <v>0</v>
      </c>
      <c r="P31">
        <v>2</v>
      </c>
      <c r="Q31">
        <v>2</v>
      </c>
    </row>
    <row r="32" spans="1:17" x14ac:dyDescent="0.3">
      <c r="A32">
        <v>31</v>
      </c>
      <c r="B32" s="4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>
        <v>0.4</v>
      </c>
      <c r="L32">
        <v>0.40910000000000002</v>
      </c>
      <c r="M32">
        <v>0.76</v>
      </c>
      <c r="N32">
        <v>0.19400000000000001</v>
      </c>
      <c r="O32">
        <v>0</v>
      </c>
      <c r="P32">
        <v>1</v>
      </c>
      <c r="Q32">
        <v>1</v>
      </c>
    </row>
    <row r="33" spans="1:21" x14ac:dyDescent="0.3">
      <c r="A33">
        <v>32</v>
      </c>
      <c r="B33" s="4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>
        <v>0.4</v>
      </c>
      <c r="L33">
        <v>0.40910000000000002</v>
      </c>
      <c r="M33">
        <v>0.71</v>
      </c>
      <c r="N33">
        <v>0.22389999999999999</v>
      </c>
      <c r="O33">
        <v>0</v>
      </c>
      <c r="P33">
        <v>8</v>
      </c>
      <c r="Q33">
        <v>8</v>
      </c>
    </row>
    <row r="34" spans="1:21" x14ac:dyDescent="0.3">
      <c r="A34">
        <v>33</v>
      </c>
      <c r="B34" s="4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>
        <v>0.38</v>
      </c>
      <c r="L34">
        <v>0.39389999999999997</v>
      </c>
      <c r="M34">
        <v>0.76</v>
      </c>
      <c r="N34">
        <v>0.22389999999999999</v>
      </c>
      <c r="O34">
        <v>1</v>
      </c>
      <c r="P34">
        <v>19</v>
      </c>
      <c r="Q34">
        <v>20</v>
      </c>
    </row>
    <row r="35" spans="1:21" x14ac:dyDescent="0.3">
      <c r="A35">
        <v>34</v>
      </c>
      <c r="B35" s="4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>
        <v>0.36</v>
      </c>
      <c r="L35">
        <v>0.34849999999999998</v>
      </c>
      <c r="M35">
        <v>0.81</v>
      </c>
      <c r="N35">
        <v>0.22389999999999999</v>
      </c>
      <c r="O35">
        <v>7</v>
      </c>
      <c r="P35">
        <v>46</v>
      </c>
      <c r="Q35">
        <v>53</v>
      </c>
      <c r="S35" s="23"/>
      <c r="T35" s="9"/>
      <c r="U35" s="5"/>
    </row>
    <row r="36" spans="1:21" x14ac:dyDescent="0.3">
      <c r="A36">
        <v>35</v>
      </c>
      <c r="B36" s="4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>
        <v>0.36</v>
      </c>
      <c r="L36">
        <v>0.33329999999999999</v>
      </c>
      <c r="M36">
        <v>0.71</v>
      </c>
      <c r="N36">
        <v>0.25369999999999998</v>
      </c>
      <c r="O36">
        <v>16</v>
      </c>
      <c r="P36">
        <v>54</v>
      </c>
      <c r="Q36">
        <v>70</v>
      </c>
      <c r="T36" s="5"/>
      <c r="U36" s="5"/>
    </row>
    <row r="37" spans="1:21" x14ac:dyDescent="0.3">
      <c r="A37">
        <v>36</v>
      </c>
      <c r="B37" s="4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>
        <v>0.36</v>
      </c>
      <c r="L37">
        <v>0.33329999999999999</v>
      </c>
      <c r="M37">
        <v>0.66</v>
      </c>
      <c r="N37">
        <v>0.29849999999999999</v>
      </c>
      <c r="O37">
        <v>20</v>
      </c>
      <c r="P37">
        <v>73</v>
      </c>
      <c r="Q37">
        <v>93</v>
      </c>
      <c r="T37" s="5"/>
      <c r="U37" s="5"/>
    </row>
    <row r="38" spans="1:21" x14ac:dyDescent="0.3">
      <c r="A38">
        <v>37</v>
      </c>
      <c r="B38" s="4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>
        <v>0.36</v>
      </c>
      <c r="L38">
        <v>0.34849999999999998</v>
      </c>
      <c r="M38">
        <v>0.66</v>
      </c>
      <c r="N38">
        <v>0.1343</v>
      </c>
      <c r="O38">
        <v>11</v>
      </c>
      <c r="P38">
        <v>64</v>
      </c>
      <c r="Q38">
        <v>75</v>
      </c>
    </row>
    <row r="39" spans="1:21" x14ac:dyDescent="0.3">
      <c r="A39">
        <v>38</v>
      </c>
      <c r="B39" s="4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>
        <v>0.36</v>
      </c>
      <c r="L39">
        <v>0.33329999999999999</v>
      </c>
      <c r="M39">
        <v>0.76</v>
      </c>
      <c r="N39">
        <v>0.19400000000000001</v>
      </c>
      <c r="O39">
        <v>4</v>
      </c>
      <c r="P39">
        <v>55</v>
      </c>
      <c r="Q39">
        <v>59</v>
      </c>
    </row>
    <row r="40" spans="1:21" x14ac:dyDescent="0.3">
      <c r="A40">
        <v>39</v>
      </c>
      <c r="B40" s="4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>
        <v>0.34</v>
      </c>
      <c r="L40">
        <v>0.33329999999999999</v>
      </c>
      <c r="M40">
        <v>0.81</v>
      </c>
      <c r="N40">
        <v>0.16420000000000001</v>
      </c>
      <c r="O40">
        <v>19</v>
      </c>
      <c r="P40">
        <v>55</v>
      </c>
      <c r="Q40">
        <v>74</v>
      </c>
    </row>
    <row r="41" spans="1:21" x14ac:dyDescent="0.3">
      <c r="A41">
        <v>40</v>
      </c>
      <c r="B41" s="4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>
        <v>0.34</v>
      </c>
      <c r="L41">
        <v>0.33329999999999999</v>
      </c>
      <c r="M41">
        <v>0.71</v>
      </c>
      <c r="N41">
        <v>0.16420000000000001</v>
      </c>
      <c r="O41">
        <v>9</v>
      </c>
      <c r="P41">
        <v>67</v>
      </c>
      <c r="Q41">
        <v>76</v>
      </c>
    </row>
    <row r="42" spans="1:21" x14ac:dyDescent="0.3">
      <c r="A42">
        <v>41</v>
      </c>
      <c r="B42" s="4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>
        <v>0.34</v>
      </c>
      <c r="L42">
        <v>0.33329999999999999</v>
      </c>
      <c r="M42">
        <v>0.56999999999999995</v>
      </c>
      <c r="N42">
        <v>0.19400000000000001</v>
      </c>
      <c r="O42">
        <v>7</v>
      </c>
      <c r="P42">
        <v>58</v>
      </c>
      <c r="Q42">
        <v>65</v>
      </c>
    </row>
    <row r="43" spans="1:21" x14ac:dyDescent="0.3">
      <c r="A43">
        <v>42</v>
      </c>
      <c r="B43" s="4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>
        <v>0.36</v>
      </c>
      <c r="L43">
        <v>0.33329999999999999</v>
      </c>
      <c r="M43">
        <v>0.46</v>
      </c>
      <c r="N43">
        <v>0.32840000000000003</v>
      </c>
      <c r="O43">
        <v>10</v>
      </c>
      <c r="P43">
        <v>43</v>
      </c>
      <c r="Q43">
        <v>53</v>
      </c>
    </row>
    <row r="44" spans="1:21" x14ac:dyDescent="0.3">
      <c r="A44">
        <v>43</v>
      </c>
      <c r="B44" s="4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>
        <v>0.32</v>
      </c>
      <c r="L44">
        <v>0.28789999999999999</v>
      </c>
      <c r="M44">
        <v>0.42</v>
      </c>
      <c r="N44">
        <v>0.44779999999999998</v>
      </c>
      <c r="O44">
        <v>1</v>
      </c>
      <c r="P44">
        <v>29</v>
      </c>
      <c r="Q44">
        <v>30</v>
      </c>
    </row>
    <row r="45" spans="1:21" x14ac:dyDescent="0.3">
      <c r="A45">
        <v>44</v>
      </c>
      <c r="B45" s="4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>
        <v>0.3</v>
      </c>
      <c r="L45">
        <v>0.2576</v>
      </c>
      <c r="M45">
        <v>0.39</v>
      </c>
      <c r="N45">
        <v>0.35820000000000002</v>
      </c>
      <c r="O45">
        <v>5</v>
      </c>
      <c r="P45">
        <v>17</v>
      </c>
      <c r="Q45">
        <v>22</v>
      </c>
    </row>
    <row r="46" spans="1:21" x14ac:dyDescent="0.3">
      <c r="A46">
        <v>45</v>
      </c>
      <c r="B46" s="4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>
        <v>0.26</v>
      </c>
      <c r="L46">
        <v>0.2273</v>
      </c>
      <c r="M46">
        <v>0.44</v>
      </c>
      <c r="N46">
        <v>0.32840000000000003</v>
      </c>
      <c r="O46">
        <v>11</v>
      </c>
      <c r="P46">
        <v>20</v>
      </c>
      <c r="Q46">
        <v>31</v>
      </c>
    </row>
    <row r="47" spans="1:21" x14ac:dyDescent="0.3">
      <c r="A47">
        <v>46</v>
      </c>
      <c r="B47" s="4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>
        <v>0.24</v>
      </c>
      <c r="L47">
        <v>0.21210000000000001</v>
      </c>
      <c r="M47">
        <v>0.44</v>
      </c>
      <c r="N47">
        <v>0.29849999999999999</v>
      </c>
      <c r="O47">
        <v>0</v>
      </c>
      <c r="P47">
        <v>9</v>
      </c>
      <c r="Q47">
        <v>9</v>
      </c>
    </row>
    <row r="48" spans="1:21" x14ac:dyDescent="0.3">
      <c r="A48">
        <v>47</v>
      </c>
      <c r="B48" s="4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>
        <v>0.22</v>
      </c>
      <c r="L48">
        <v>0.2273</v>
      </c>
      <c r="M48">
        <v>0.47</v>
      </c>
      <c r="N48">
        <v>0.16420000000000001</v>
      </c>
      <c r="O48">
        <v>0</v>
      </c>
      <c r="P48">
        <v>8</v>
      </c>
      <c r="Q48">
        <v>8</v>
      </c>
    </row>
    <row r="49" spans="1:17" x14ac:dyDescent="0.3">
      <c r="A49">
        <v>48</v>
      </c>
      <c r="B49" s="4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0.22</v>
      </c>
      <c r="L49">
        <v>0.19700000000000001</v>
      </c>
      <c r="M49">
        <v>0.44</v>
      </c>
      <c r="N49">
        <v>0.35820000000000002</v>
      </c>
      <c r="O49">
        <v>0</v>
      </c>
      <c r="P49">
        <v>5</v>
      </c>
      <c r="Q49">
        <v>5</v>
      </c>
    </row>
    <row r="50" spans="1:17" x14ac:dyDescent="0.3">
      <c r="A50">
        <v>49</v>
      </c>
      <c r="B50" s="4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0.2</v>
      </c>
      <c r="L50">
        <v>0.16669999999999999</v>
      </c>
      <c r="M50">
        <v>0.44</v>
      </c>
      <c r="N50">
        <v>0.41789999999999999</v>
      </c>
      <c r="O50">
        <v>0</v>
      </c>
      <c r="P50">
        <v>2</v>
      </c>
      <c r="Q50">
        <v>2</v>
      </c>
    </row>
    <row r="51" spans="1:17" x14ac:dyDescent="0.3">
      <c r="A51">
        <v>50</v>
      </c>
      <c r="B51" s="4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>
        <v>0.16</v>
      </c>
      <c r="L51">
        <v>0.13639999999999999</v>
      </c>
      <c r="M51">
        <v>0.47</v>
      </c>
      <c r="N51">
        <v>0.3881</v>
      </c>
      <c r="O51">
        <v>0</v>
      </c>
      <c r="P51">
        <v>1</v>
      </c>
      <c r="Q51">
        <v>1</v>
      </c>
    </row>
    <row r="52" spans="1:17" x14ac:dyDescent="0.3">
      <c r="A52">
        <v>51</v>
      </c>
      <c r="B52" s="4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>
        <v>0.16</v>
      </c>
      <c r="L52">
        <v>0.13639999999999999</v>
      </c>
      <c r="M52">
        <v>0.47</v>
      </c>
      <c r="N52">
        <v>0.28360000000000002</v>
      </c>
      <c r="O52">
        <v>0</v>
      </c>
      <c r="P52">
        <v>3</v>
      </c>
      <c r="Q52">
        <v>3</v>
      </c>
    </row>
    <row r="53" spans="1:17" x14ac:dyDescent="0.3">
      <c r="A53">
        <v>52</v>
      </c>
      <c r="B53" s="4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>
        <v>0.14000000000000001</v>
      </c>
      <c r="L53">
        <v>0.1061</v>
      </c>
      <c r="M53">
        <v>0.5</v>
      </c>
      <c r="N53">
        <v>0.3881</v>
      </c>
      <c r="O53">
        <v>0</v>
      </c>
      <c r="P53">
        <v>30</v>
      </c>
      <c r="Q53">
        <v>30</v>
      </c>
    </row>
    <row r="54" spans="1:17" x14ac:dyDescent="0.3">
      <c r="A54">
        <v>53</v>
      </c>
      <c r="B54" s="4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>
        <v>0.14000000000000001</v>
      </c>
      <c r="L54">
        <v>0.13639999999999999</v>
      </c>
      <c r="M54">
        <v>0.5</v>
      </c>
      <c r="N54">
        <v>0.19400000000000001</v>
      </c>
      <c r="O54">
        <v>1</v>
      </c>
      <c r="P54">
        <v>63</v>
      </c>
      <c r="Q54">
        <v>64</v>
      </c>
    </row>
    <row r="55" spans="1:17" x14ac:dyDescent="0.3">
      <c r="A55">
        <v>54</v>
      </c>
      <c r="B55" s="4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>
        <v>0.14000000000000001</v>
      </c>
      <c r="L55">
        <v>0.1212</v>
      </c>
      <c r="M55">
        <v>0.5</v>
      </c>
      <c r="N55">
        <v>0.28360000000000002</v>
      </c>
      <c r="O55">
        <v>1</v>
      </c>
      <c r="P55">
        <v>153</v>
      </c>
      <c r="Q55">
        <v>154</v>
      </c>
    </row>
    <row r="56" spans="1:17" x14ac:dyDescent="0.3">
      <c r="A56">
        <v>55</v>
      </c>
      <c r="B56" s="4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>
        <v>0.16</v>
      </c>
      <c r="L56">
        <v>0.13639999999999999</v>
      </c>
      <c r="M56">
        <v>0.43</v>
      </c>
      <c r="N56">
        <v>0.3881</v>
      </c>
      <c r="O56">
        <v>7</v>
      </c>
      <c r="P56">
        <v>81</v>
      </c>
      <c r="Q56">
        <v>88</v>
      </c>
    </row>
    <row r="57" spans="1:17" x14ac:dyDescent="0.3">
      <c r="A57">
        <v>56</v>
      </c>
      <c r="B57" s="4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>
        <v>0.18</v>
      </c>
      <c r="L57">
        <v>0.16669999999999999</v>
      </c>
      <c r="M57">
        <v>0.43</v>
      </c>
      <c r="N57">
        <v>0.25369999999999998</v>
      </c>
      <c r="O57">
        <v>11</v>
      </c>
      <c r="P57">
        <v>33</v>
      </c>
      <c r="Q57">
        <v>44</v>
      </c>
    </row>
    <row r="58" spans="1:17" x14ac:dyDescent="0.3">
      <c r="A58">
        <v>57</v>
      </c>
      <c r="B58" s="4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>
        <v>0.2</v>
      </c>
      <c r="L58">
        <v>0.18179999999999999</v>
      </c>
      <c r="M58">
        <v>0.4</v>
      </c>
      <c r="N58">
        <v>0.32840000000000003</v>
      </c>
      <c r="O58">
        <v>10</v>
      </c>
      <c r="P58">
        <v>41</v>
      </c>
      <c r="Q58">
        <v>51</v>
      </c>
    </row>
    <row r="59" spans="1:17" x14ac:dyDescent="0.3">
      <c r="A59">
        <v>58</v>
      </c>
      <c r="B59" s="4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>
        <v>0.22</v>
      </c>
      <c r="L59">
        <v>0.21210000000000001</v>
      </c>
      <c r="M59">
        <v>0.35</v>
      </c>
      <c r="N59">
        <v>0.29849999999999999</v>
      </c>
      <c r="O59">
        <v>13</v>
      </c>
      <c r="P59">
        <v>48</v>
      </c>
      <c r="Q59">
        <v>61</v>
      </c>
    </row>
    <row r="60" spans="1:17" x14ac:dyDescent="0.3">
      <c r="A60">
        <v>59</v>
      </c>
      <c r="B60" s="4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>
        <v>0.24</v>
      </c>
      <c r="L60">
        <v>0.2273</v>
      </c>
      <c r="M60">
        <v>0.35</v>
      </c>
      <c r="N60">
        <v>0.28360000000000002</v>
      </c>
      <c r="O60">
        <v>8</v>
      </c>
      <c r="P60">
        <v>53</v>
      </c>
      <c r="Q60">
        <v>61</v>
      </c>
    </row>
    <row r="61" spans="1:17" x14ac:dyDescent="0.3">
      <c r="A61">
        <v>60</v>
      </c>
      <c r="B61" s="4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>
        <v>0.26</v>
      </c>
      <c r="L61">
        <v>0.2424</v>
      </c>
      <c r="M61">
        <v>0.3</v>
      </c>
      <c r="N61">
        <v>0.28360000000000002</v>
      </c>
      <c r="O61">
        <v>11</v>
      </c>
      <c r="P61">
        <v>66</v>
      </c>
      <c r="Q61">
        <v>77</v>
      </c>
    </row>
    <row r="62" spans="1:17" x14ac:dyDescent="0.3">
      <c r="A62">
        <v>61</v>
      </c>
      <c r="B62" s="4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>
        <v>0.26</v>
      </c>
      <c r="L62">
        <v>0.2424</v>
      </c>
      <c r="M62">
        <v>0.3</v>
      </c>
      <c r="N62">
        <v>0.25369999999999998</v>
      </c>
      <c r="O62">
        <v>14</v>
      </c>
      <c r="P62">
        <v>58</v>
      </c>
      <c r="Q62">
        <v>72</v>
      </c>
    </row>
    <row r="63" spans="1:17" x14ac:dyDescent="0.3">
      <c r="A63">
        <v>62</v>
      </c>
      <c r="B63" s="4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>
        <v>0.26</v>
      </c>
      <c r="L63">
        <v>0.2424</v>
      </c>
      <c r="M63">
        <v>0.3</v>
      </c>
      <c r="N63">
        <v>0.25369999999999998</v>
      </c>
      <c r="O63">
        <v>9</v>
      </c>
      <c r="P63">
        <v>67</v>
      </c>
      <c r="Q63">
        <v>76</v>
      </c>
    </row>
    <row r="64" spans="1:17" x14ac:dyDescent="0.3">
      <c r="A64">
        <v>63</v>
      </c>
      <c r="B64" s="4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>
        <v>0.24</v>
      </c>
      <c r="L64">
        <v>0.2273</v>
      </c>
      <c r="M64">
        <v>0.3</v>
      </c>
      <c r="N64">
        <v>0.22389999999999999</v>
      </c>
      <c r="O64">
        <v>11</v>
      </c>
      <c r="P64">
        <v>146</v>
      </c>
      <c r="Q64">
        <v>157</v>
      </c>
    </row>
    <row r="65" spans="1:17" x14ac:dyDescent="0.3">
      <c r="A65">
        <v>64</v>
      </c>
      <c r="B65" s="4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>
        <v>0.24</v>
      </c>
      <c r="L65">
        <v>0.2576</v>
      </c>
      <c r="M65">
        <v>0.32</v>
      </c>
      <c r="N65">
        <v>0.1045</v>
      </c>
      <c r="O65">
        <v>9</v>
      </c>
      <c r="P65">
        <v>148</v>
      </c>
      <c r="Q65">
        <v>157</v>
      </c>
    </row>
    <row r="66" spans="1:17" x14ac:dyDescent="0.3">
      <c r="A66">
        <v>65</v>
      </c>
      <c r="B66" s="4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>
        <v>0.2</v>
      </c>
      <c r="L66">
        <v>0.2576</v>
      </c>
      <c r="M66">
        <v>0.47</v>
      </c>
      <c r="N66">
        <v>0</v>
      </c>
      <c r="O66">
        <v>8</v>
      </c>
      <c r="P66">
        <v>102</v>
      </c>
      <c r="Q66">
        <v>110</v>
      </c>
    </row>
    <row r="67" spans="1:17" x14ac:dyDescent="0.3">
      <c r="A67">
        <v>66</v>
      </c>
      <c r="B67" s="4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>
        <v>0.2</v>
      </c>
      <c r="L67">
        <v>0.2273</v>
      </c>
      <c r="M67">
        <v>0.47</v>
      </c>
      <c r="N67">
        <v>0.1045</v>
      </c>
      <c r="O67">
        <v>3</v>
      </c>
      <c r="P67">
        <v>49</v>
      </c>
      <c r="Q67">
        <v>52</v>
      </c>
    </row>
    <row r="68" spans="1:17" x14ac:dyDescent="0.3">
      <c r="A68">
        <v>67</v>
      </c>
      <c r="B68" s="4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>
        <v>0.18</v>
      </c>
      <c r="L68">
        <v>0.19700000000000001</v>
      </c>
      <c r="M68">
        <v>0.64</v>
      </c>
      <c r="N68">
        <v>0.1343</v>
      </c>
      <c r="O68">
        <v>3</v>
      </c>
      <c r="P68">
        <v>49</v>
      </c>
      <c r="Q68">
        <v>52</v>
      </c>
    </row>
    <row r="69" spans="1:17" x14ac:dyDescent="0.3">
      <c r="A69">
        <v>68</v>
      </c>
      <c r="B69" s="4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>
        <v>0.14000000000000001</v>
      </c>
      <c r="L69">
        <v>0.1515</v>
      </c>
      <c r="M69">
        <v>0.69</v>
      </c>
      <c r="N69">
        <v>0.1343</v>
      </c>
      <c r="O69">
        <v>0</v>
      </c>
      <c r="P69">
        <v>20</v>
      </c>
      <c r="Q69">
        <v>20</v>
      </c>
    </row>
    <row r="70" spans="1:17" x14ac:dyDescent="0.3">
      <c r="A70">
        <v>69</v>
      </c>
      <c r="B70" s="4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>
        <v>0.18</v>
      </c>
      <c r="L70">
        <v>0.21210000000000001</v>
      </c>
      <c r="M70">
        <v>0.55000000000000004</v>
      </c>
      <c r="N70">
        <v>0.1045</v>
      </c>
      <c r="O70">
        <v>1</v>
      </c>
      <c r="P70">
        <v>11</v>
      </c>
      <c r="Q70">
        <v>12</v>
      </c>
    </row>
    <row r="71" spans="1:17" x14ac:dyDescent="0.3">
      <c r="A71">
        <v>70</v>
      </c>
      <c r="B71" s="4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0.16</v>
      </c>
      <c r="L71">
        <v>0.19700000000000001</v>
      </c>
      <c r="M71">
        <v>0.55000000000000004</v>
      </c>
      <c r="N71">
        <v>0.1045</v>
      </c>
      <c r="O71">
        <v>0</v>
      </c>
      <c r="P71">
        <v>5</v>
      </c>
      <c r="Q71">
        <v>5</v>
      </c>
    </row>
    <row r="72" spans="1:17" x14ac:dyDescent="0.3">
      <c r="A72">
        <v>71</v>
      </c>
      <c r="B72" s="4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>
        <v>0.16</v>
      </c>
      <c r="L72">
        <v>0.18179999999999999</v>
      </c>
      <c r="M72">
        <v>0.59</v>
      </c>
      <c r="N72">
        <v>0.1045</v>
      </c>
      <c r="O72">
        <v>0</v>
      </c>
      <c r="P72">
        <v>2</v>
      </c>
      <c r="Q72">
        <v>2</v>
      </c>
    </row>
    <row r="73" spans="1:17" x14ac:dyDescent="0.3">
      <c r="A73">
        <v>72</v>
      </c>
      <c r="B73" s="4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>
        <v>0.14000000000000001</v>
      </c>
      <c r="L73">
        <v>0.1515</v>
      </c>
      <c r="M73">
        <v>0.63</v>
      </c>
      <c r="N73">
        <v>0.1343</v>
      </c>
      <c r="O73">
        <v>0</v>
      </c>
      <c r="P73">
        <v>1</v>
      </c>
      <c r="Q73">
        <v>1</v>
      </c>
    </row>
    <row r="74" spans="1:17" x14ac:dyDescent="0.3">
      <c r="A74">
        <v>73</v>
      </c>
      <c r="B74" s="4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>
        <v>0.14000000000000001</v>
      </c>
      <c r="L74">
        <v>0.18179999999999999</v>
      </c>
      <c r="M74">
        <v>0.63</v>
      </c>
      <c r="N74">
        <v>8.9599999999999999E-2</v>
      </c>
      <c r="O74">
        <v>0</v>
      </c>
      <c r="P74">
        <v>2</v>
      </c>
      <c r="Q74">
        <v>2</v>
      </c>
    </row>
    <row r="75" spans="1:17" x14ac:dyDescent="0.3">
      <c r="A75">
        <v>74</v>
      </c>
      <c r="B75" s="4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>
        <v>0.12</v>
      </c>
      <c r="L75">
        <v>0.1515</v>
      </c>
      <c r="M75">
        <v>0.68</v>
      </c>
      <c r="N75">
        <v>0.1045</v>
      </c>
      <c r="O75">
        <v>0</v>
      </c>
      <c r="P75">
        <v>4</v>
      </c>
      <c r="Q75">
        <v>4</v>
      </c>
    </row>
    <row r="76" spans="1:17" x14ac:dyDescent="0.3">
      <c r="A76">
        <v>75</v>
      </c>
      <c r="B76" s="4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>
        <v>0.12</v>
      </c>
      <c r="L76">
        <v>0.1515</v>
      </c>
      <c r="M76">
        <v>0.74</v>
      </c>
      <c r="N76">
        <v>0.1045</v>
      </c>
      <c r="O76">
        <v>0</v>
      </c>
      <c r="P76">
        <v>36</v>
      </c>
      <c r="Q76">
        <v>36</v>
      </c>
    </row>
    <row r="77" spans="1:17" x14ac:dyDescent="0.3">
      <c r="A77">
        <v>76</v>
      </c>
      <c r="B77" s="4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>
        <v>0.12</v>
      </c>
      <c r="L77">
        <v>0.1515</v>
      </c>
      <c r="M77">
        <v>0.74</v>
      </c>
      <c r="N77">
        <v>0.1343</v>
      </c>
      <c r="O77">
        <v>2</v>
      </c>
      <c r="P77">
        <v>92</v>
      </c>
      <c r="Q77">
        <v>94</v>
      </c>
    </row>
    <row r="78" spans="1:17" x14ac:dyDescent="0.3">
      <c r="A78">
        <v>77</v>
      </c>
      <c r="B78" s="4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>
        <v>0.14000000000000001</v>
      </c>
      <c r="L78">
        <v>0.1515</v>
      </c>
      <c r="M78">
        <v>0.69</v>
      </c>
      <c r="N78">
        <v>0.16420000000000001</v>
      </c>
      <c r="O78">
        <v>2</v>
      </c>
      <c r="P78">
        <v>177</v>
      </c>
      <c r="Q78">
        <v>179</v>
      </c>
    </row>
    <row r="79" spans="1:17" x14ac:dyDescent="0.3">
      <c r="A79">
        <v>78</v>
      </c>
      <c r="B79" s="4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>
        <v>0.16</v>
      </c>
      <c r="L79">
        <v>0.1515</v>
      </c>
      <c r="M79">
        <v>0.64</v>
      </c>
      <c r="N79">
        <v>0.22389999999999999</v>
      </c>
      <c r="O79">
        <v>2</v>
      </c>
      <c r="P79">
        <v>98</v>
      </c>
      <c r="Q79">
        <v>100</v>
      </c>
    </row>
    <row r="80" spans="1:17" x14ac:dyDescent="0.3">
      <c r="A80">
        <v>79</v>
      </c>
      <c r="B80" s="4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>
        <v>0.16</v>
      </c>
      <c r="L80">
        <v>0.13639999999999999</v>
      </c>
      <c r="M80">
        <v>0.69</v>
      </c>
      <c r="N80">
        <v>0.32840000000000003</v>
      </c>
      <c r="O80">
        <v>5</v>
      </c>
      <c r="P80">
        <v>37</v>
      </c>
      <c r="Q80">
        <v>42</v>
      </c>
    </row>
    <row r="81" spans="1:17" x14ac:dyDescent="0.3">
      <c r="A81">
        <v>80</v>
      </c>
      <c r="B81" s="4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>
        <v>0.22</v>
      </c>
      <c r="L81">
        <v>0.21210000000000001</v>
      </c>
      <c r="M81">
        <v>0.51</v>
      </c>
      <c r="N81">
        <v>0.29849999999999999</v>
      </c>
      <c r="O81">
        <v>7</v>
      </c>
      <c r="P81">
        <v>50</v>
      </c>
      <c r="Q81">
        <v>57</v>
      </c>
    </row>
    <row r="82" spans="1:17" x14ac:dyDescent="0.3">
      <c r="A82">
        <v>81</v>
      </c>
      <c r="B82" s="4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>
        <v>0.22</v>
      </c>
      <c r="L82">
        <v>0.2273</v>
      </c>
      <c r="M82">
        <v>0.51</v>
      </c>
      <c r="N82">
        <v>0.16420000000000001</v>
      </c>
      <c r="O82">
        <v>12</v>
      </c>
      <c r="P82">
        <v>66</v>
      </c>
      <c r="Q82">
        <v>78</v>
      </c>
    </row>
    <row r="83" spans="1:17" x14ac:dyDescent="0.3">
      <c r="A83">
        <v>82</v>
      </c>
      <c r="B83" s="4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>
        <v>0.24</v>
      </c>
      <c r="L83">
        <v>0.2273</v>
      </c>
      <c r="M83">
        <v>0.56000000000000005</v>
      </c>
      <c r="N83">
        <v>0.19400000000000001</v>
      </c>
      <c r="O83">
        <v>18</v>
      </c>
      <c r="P83">
        <v>79</v>
      </c>
      <c r="Q83">
        <v>97</v>
      </c>
    </row>
    <row r="84" spans="1:17" x14ac:dyDescent="0.3">
      <c r="A84">
        <v>83</v>
      </c>
      <c r="B84" s="4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>
        <v>0.26</v>
      </c>
      <c r="L84">
        <v>0.2576</v>
      </c>
      <c r="M84">
        <v>0.52</v>
      </c>
      <c r="N84">
        <v>0.22389999999999999</v>
      </c>
      <c r="O84">
        <v>9</v>
      </c>
      <c r="P84">
        <v>54</v>
      </c>
      <c r="Q84">
        <v>63</v>
      </c>
    </row>
    <row r="85" spans="1:17" x14ac:dyDescent="0.3">
      <c r="A85">
        <v>84</v>
      </c>
      <c r="B85" s="4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>
        <v>0.28000000000000003</v>
      </c>
      <c r="L85">
        <v>0.2727</v>
      </c>
      <c r="M85">
        <v>0.52</v>
      </c>
      <c r="N85">
        <v>0.25369999999999998</v>
      </c>
      <c r="O85">
        <v>17</v>
      </c>
      <c r="P85">
        <v>48</v>
      </c>
      <c r="Q85">
        <v>65</v>
      </c>
    </row>
    <row r="86" spans="1:17" x14ac:dyDescent="0.3">
      <c r="A86">
        <v>85</v>
      </c>
      <c r="B86" s="4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>
        <v>0.3</v>
      </c>
      <c r="L86">
        <v>0.28789999999999999</v>
      </c>
      <c r="M86">
        <v>0.49</v>
      </c>
      <c r="N86">
        <v>0.25369999999999998</v>
      </c>
      <c r="O86">
        <v>15</v>
      </c>
      <c r="P86">
        <v>68</v>
      </c>
      <c r="Q86">
        <v>83</v>
      </c>
    </row>
    <row r="87" spans="1:17" x14ac:dyDescent="0.3">
      <c r="A87">
        <v>86</v>
      </c>
      <c r="B87" s="4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>
        <v>0.28000000000000003</v>
      </c>
      <c r="L87">
        <v>0.2727</v>
      </c>
      <c r="M87">
        <v>0.48</v>
      </c>
      <c r="N87">
        <v>0.22389999999999999</v>
      </c>
      <c r="O87">
        <v>10</v>
      </c>
      <c r="P87">
        <v>202</v>
      </c>
      <c r="Q87">
        <v>212</v>
      </c>
    </row>
    <row r="88" spans="1:17" x14ac:dyDescent="0.3">
      <c r="A88">
        <v>87</v>
      </c>
      <c r="B88" s="4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>
        <v>0.26</v>
      </c>
      <c r="L88">
        <v>0.2576</v>
      </c>
      <c r="M88">
        <v>0.48</v>
      </c>
      <c r="N88">
        <v>0.19400000000000001</v>
      </c>
      <c r="O88">
        <v>3</v>
      </c>
      <c r="P88">
        <v>179</v>
      </c>
      <c r="Q88">
        <v>182</v>
      </c>
    </row>
    <row r="89" spans="1:17" x14ac:dyDescent="0.3">
      <c r="A89">
        <v>88</v>
      </c>
      <c r="B89" s="4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>
        <v>0.24</v>
      </c>
      <c r="L89">
        <v>0.2576</v>
      </c>
      <c r="M89">
        <v>0.48</v>
      </c>
      <c r="N89">
        <v>0.1045</v>
      </c>
      <c r="O89">
        <v>2</v>
      </c>
      <c r="P89">
        <v>110</v>
      </c>
      <c r="Q89">
        <v>112</v>
      </c>
    </row>
    <row r="90" spans="1:17" x14ac:dyDescent="0.3">
      <c r="A90">
        <v>89</v>
      </c>
      <c r="B90" s="4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>
        <v>0.24</v>
      </c>
      <c r="L90">
        <v>0.2576</v>
      </c>
      <c r="M90">
        <v>0.48</v>
      </c>
      <c r="N90">
        <v>0.1045</v>
      </c>
      <c r="O90">
        <v>1</v>
      </c>
      <c r="P90">
        <v>53</v>
      </c>
      <c r="Q90">
        <v>54</v>
      </c>
    </row>
    <row r="91" spans="1:17" x14ac:dyDescent="0.3">
      <c r="A91">
        <v>90</v>
      </c>
      <c r="B91" s="4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>
        <v>0.22</v>
      </c>
      <c r="L91">
        <v>0.2727</v>
      </c>
      <c r="M91">
        <v>0.64</v>
      </c>
      <c r="N91">
        <v>0</v>
      </c>
      <c r="O91">
        <v>0</v>
      </c>
      <c r="P91">
        <v>48</v>
      </c>
      <c r="Q91">
        <v>48</v>
      </c>
    </row>
    <row r="92" spans="1:17" x14ac:dyDescent="0.3">
      <c r="A92">
        <v>91</v>
      </c>
      <c r="B92" s="4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>
        <v>0.22</v>
      </c>
      <c r="L92">
        <v>0.2576</v>
      </c>
      <c r="M92">
        <v>0.64</v>
      </c>
      <c r="N92">
        <v>8.9599999999999999E-2</v>
      </c>
      <c r="O92">
        <v>1</v>
      </c>
      <c r="P92">
        <v>34</v>
      </c>
      <c r="Q92">
        <v>35</v>
      </c>
    </row>
    <row r="93" spans="1:17" x14ac:dyDescent="0.3">
      <c r="A93">
        <v>92</v>
      </c>
      <c r="B93" s="4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>
        <v>0.2</v>
      </c>
      <c r="L93">
        <v>0.2273</v>
      </c>
      <c r="M93">
        <v>0.69</v>
      </c>
      <c r="N93">
        <v>8.9599999999999999E-2</v>
      </c>
      <c r="O93">
        <v>2</v>
      </c>
      <c r="P93">
        <v>9</v>
      </c>
      <c r="Q93">
        <v>11</v>
      </c>
    </row>
    <row r="94" spans="1:17" x14ac:dyDescent="0.3">
      <c r="A94">
        <v>93</v>
      </c>
      <c r="B94" s="4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>
        <v>0.2</v>
      </c>
      <c r="L94">
        <v>0.2576</v>
      </c>
      <c r="M94">
        <v>0.64</v>
      </c>
      <c r="N94">
        <v>0</v>
      </c>
      <c r="O94">
        <v>0</v>
      </c>
      <c r="P94">
        <v>6</v>
      </c>
      <c r="Q94">
        <v>6</v>
      </c>
    </row>
    <row r="95" spans="1:17" x14ac:dyDescent="0.3">
      <c r="A95">
        <v>94</v>
      </c>
      <c r="B95" s="4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>
        <v>0.16</v>
      </c>
      <c r="L95">
        <v>0.19700000000000001</v>
      </c>
      <c r="M95">
        <v>0.74</v>
      </c>
      <c r="N95">
        <v>8.9599999999999999E-2</v>
      </c>
      <c r="O95">
        <v>0</v>
      </c>
      <c r="P95">
        <v>6</v>
      </c>
      <c r="Q95">
        <v>6</v>
      </c>
    </row>
    <row r="96" spans="1:17" x14ac:dyDescent="0.3">
      <c r="A96">
        <v>95</v>
      </c>
      <c r="B96" s="4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>
        <v>0.16</v>
      </c>
      <c r="L96">
        <v>0.19700000000000001</v>
      </c>
      <c r="M96">
        <v>0.74</v>
      </c>
      <c r="N96">
        <v>8.9599999999999999E-2</v>
      </c>
      <c r="O96">
        <v>0</v>
      </c>
      <c r="P96">
        <v>2</v>
      </c>
      <c r="Q96">
        <v>2</v>
      </c>
    </row>
    <row r="97" spans="1:17" x14ac:dyDescent="0.3">
      <c r="A97">
        <v>96</v>
      </c>
      <c r="B97" s="4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>
        <v>0.24</v>
      </c>
      <c r="L97">
        <v>0.2273</v>
      </c>
      <c r="M97">
        <v>0.48</v>
      </c>
      <c r="N97">
        <v>0.22389999999999999</v>
      </c>
      <c r="O97">
        <v>0</v>
      </c>
      <c r="P97">
        <v>2</v>
      </c>
      <c r="Q97">
        <v>2</v>
      </c>
    </row>
    <row r="98" spans="1:17" x14ac:dyDescent="0.3">
      <c r="A98">
        <v>97</v>
      </c>
      <c r="B98" s="4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>
        <v>0.22</v>
      </c>
      <c r="L98">
        <v>0.2273</v>
      </c>
      <c r="M98">
        <v>0.47</v>
      </c>
      <c r="N98">
        <v>0.16420000000000001</v>
      </c>
      <c r="O98">
        <v>0</v>
      </c>
      <c r="P98">
        <v>3</v>
      </c>
      <c r="Q98">
        <v>3</v>
      </c>
    </row>
    <row r="99" spans="1:17" x14ac:dyDescent="0.3">
      <c r="A99">
        <v>98</v>
      </c>
      <c r="B99" s="4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>
        <v>0.2</v>
      </c>
      <c r="L99">
        <v>0.19700000000000001</v>
      </c>
      <c r="M99">
        <v>0.47</v>
      </c>
      <c r="N99">
        <v>0.22389999999999999</v>
      </c>
      <c r="O99">
        <v>0</v>
      </c>
      <c r="P99">
        <v>33</v>
      </c>
      <c r="Q99">
        <v>33</v>
      </c>
    </row>
    <row r="100" spans="1:17" x14ac:dyDescent="0.3">
      <c r="A100">
        <v>99</v>
      </c>
      <c r="B100" s="4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>
        <v>0.18</v>
      </c>
      <c r="L100">
        <v>0.18179999999999999</v>
      </c>
      <c r="M100">
        <v>0.43</v>
      </c>
      <c r="N100">
        <v>0.19400000000000001</v>
      </c>
      <c r="O100">
        <v>1</v>
      </c>
      <c r="P100">
        <v>87</v>
      </c>
      <c r="Q100">
        <v>88</v>
      </c>
    </row>
    <row r="101" spans="1:17" x14ac:dyDescent="0.3">
      <c r="A101">
        <v>100</v>
      </c>
      <c r="B101" s="4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>
        <v>0.2</v>
      </c>
      <c r="L101">
        <v>0.18179999999999999</v>
      </c>
      <c r="M101">
        <v>0.4</v>
      </c>
      <c r="N101">
        <v>0.29849999999999999</v>
      </c>
      <c r="O101">
        <v>3</v>
      </c>
      <c r="P101">
        <v>192</v>
      </c>
      <c r="Q101">
        <v>195</v>
      </c>
    </row>
    <row r="102" spans="1:17" x14ac:dyDescent="0.3">
      <c r="A102">
        <v>101</v>
      </c>
      <c r="B102" s="4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>
        <v>0.22</v>
      </c>
      <c r="L102">
        <v>0.19700000000000001</v>
      </c>
      <c r="M102">
        <v>0.37</v>
      </c>
      <c r="N102">
        <v>0.32840000000000003</v>
      </c>
      <c r="O102">
        <v>6</v>
      </c>
      <c r="P102">
        <v>109</v>
      </c>
      <c r="Q102">
        <v>115</v>
      </c>
    </row>
    <row r="103" spans="1:17" x14ac:dyDescent="0.3">
      <c r="A103">
        <v>102</v>
      </c>
      <c r="B103" s="4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>
        <v>0.22</v>
      </c>
      <c r="L103">
        <v>0.19700000000000001</v>
      </c>
      <c r="M103">
        <v>0.37</v>
      </c>
      <c r="N103">
        <v>0.32840000000000003</v>
      </c>
      <c r="O103">
        <v>4</v>
      </c>
      <c r="P103">
        <v>53</v>
      </c>
      <c r="Q103">
        <v>57</v>
      </c>
    </row>
    <row r="104" spans="1:17" x14ac:dyDescent="0.3">
      <c r="A104">
        <v>103</v>
      </c>
      <c r="B104" s="4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>
        <v>0.26</v>
      </c>
      <c r="L104">
        <v>0.2273</v>
      </c>
      <c r="M104">
        <v>0.33</v>
      </c>
      <c r="N104">
        <v>0.32840000000000003</v>
      </c>
      <c r="O104">
        <v>12</v>
      </c>
      <c r="P104">
        <v>34</v>
      </c>
      <c r="Q104">
        <v>46</v>
      </c>
    </row>
    <row r="105" spans="1:17" x14ac:dyDescent="0.3">
      <c r="A105">
        <v>104</v>
      </c>
      <c r="B105" s="4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>
        <v>0.26</v>
      </c>
      <c r="L105">
        <v>0.2273</v>
      </c>
      <c r="M105">
        <v>0.33</v>
      </c>
      <c r="N105">
        <v>0.32840000000000003</v>
      </c>
      <c r="O105">
        <v>5</v>
      </c>
      <c r="P105">
        <v>74</v>
      </c>
      <c r="Q105">
        <v>79</v>
      </c>
    </row>
    <row r="106" spans="1:17" x14ac:dyDescent="0.3">
      <c r="A106">
        <v>105</v>
      </c>
      <c r="B106" s="4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>
        <v>0.28000000000000003</v>
      </c>
      <c r="L106">
        <v>0.2576</v>
      </c>
      <c r="M106">
        <v>0.3</v>
      </c>
      <c r="N106">
        <v>0.29849999999999999</v>
      </c>
      <c r="O106">
        <v>6</v>
      </c>
      <c r="P106">
        <v>65</v>
      </c>
      <c r="Q106">
        <v>71</v>
      </c>
    </row>
    <row r="107" spans="1:17" x14ac:dyDescent="0.3">
      <c r="A107">
        <v>106</v>
      </c>
      <c r="B107" s="4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>
        <v>0.3</v>
      </c>
      <c r="L107">
        <v>0.28789999999999999</v>
      </c>
      <c r="M107">
        <v>0.28000000000000003</v>
      </c>
      <c r="N107">
        <v>0.19400000000000001</v>
      </c>
      <c r="O107">
        <v>10</v>
      </c>
      <c r="P107">
        <v>52</v>
      </c>
      <c r="Q107">
        <v>62</v>
      </c>
    </row>
    <row r="108" spans="1:17" x14ac:dyDescent="0.3">
      <c r="A108">
        <v>107</v>
      </c>
      <c r="B108" s="4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>
        <v>0.3</v>
      </c>
      <c r="L108">
        <v>0.28789999999999999</v>
      </c>
      <c r="M108">
        <v>0.28000000000000003</v>
      </c>
      <c r="N108">
        <v>0.19400000000000001</v>
      </c>
      <c r="O108">
        <v>7</v>
      </c>
      <c r="P108">
        <v>55</v>
      </c>
      <c r="Q108">
        <v>62</v>
      </c>
    </row>
    <row r="109" spans="1:17" x14ac:dyDescent="0.3">
      <c r="A109">
        <v>108</v>
      </c>
      <c r="B109" s="4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>
        <v>0.3</v>
      </c>
      <c r="L109">
        <v>0.31819999999999998</v>
      </c>
      <c r="M109">
        <v>0.28000000000000003</v>
      </c>
      <c r="N109">
        <v>8.9599999999999999E-2</v>
      </c>
      <c r="O109">
        <v>4</v>
      </c>
      <c r="P109">
        <v>85</v>
      </c>
      <c r="Q109">
        <v>89</v>
      </c>
    </row>
    <row r="110" spans="1:17" x14ac:dyDescent="0.3">
      <c r="A110">
        <v>109</v>
      </c>
      <c r="B110" s="4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>
        <v>0.24</v>
      </c>
      <c r="L110">
        <v>0.2273</v>
      </c>
      <c r="M110">
        <v>0.38</v>
      </c>
      <c r="N110">
        <v>0.19400000000000001</v>
      </c>
      <c r="O110">
        <v>4</v>
      </c>
      <c r="P110">
        <v>186</v>
      </c>
      <c r="Q110">
        <v>190</v>
      </c>
    </row>
    <row r="111" spans="1:17" x14ac:dyDescent="0.3">
      <c r="A111">
        <v>110</v>
      </c>
      <c r="B111" s="4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>
        <v>0.24</v>
      </c>
      <c r="L111">
        <v>0.2424</v>
      </c>
      <c r="M111">
        <v>0.38</v>
      </c>
      <c r="N111">
        <v>0.1343</v>
      </c>
      <c r="O111">
        <v>3</v>
      </c>
      <c r="P111">
        <v>166</v>
      </c>
      <c r="Q111">
        <v>169</v>
      </c>
    </row>
    <row r="112" spans="1:17" x14ac:dyDescent="0.3">
      <c r="A112">
        <v>111</v>
      </c>
      <c r="B112" s="4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>
        <v>0.24</v>
      </c>
      <c r="L112">
        <v>0.2576</v>
      </c>
      <c r="M112">
        <v>0.38</v>
      </c>
      <c r="N112">
        <v>0.1045</v>
      </c>
      <c r="O112">
        <v>5</v>
      </c>
      <c r="P112">
        <v>127</v>
      </c>
      <c r="Q112">
        <v>132</v>
      </c>
    </row>
    <row r="113" spans="1:17" x14ac:dyDescent="0.3">
      <c r="A113">
        <v>112</v>
      </c>
      <c r="B113" s="4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>
        <v>0.22</v>
      </c>
      <c r="L113">
        <v>0.2273</v>
      </c>
      <c r="M113">
        <v>0.47</v>
      </c>
      <c r="N113">
        <v>0.16420000000000001</v>
      </c>
      <c r="O113">
        <v>7</v>
      </c>
      <c r="P113">
        <v>82</v>
      </c>
      <c r="Q113">
        <v>89</v>
      </c>
    </row>
    <row r="114" spans="1:17" x14ac:dyDescent="0.3">
      <c r="A114">
        <v>113</v>
      </c>
      <c r="B114" s="4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>
        <v>0.2</v>
      </c>
      <c r="L114">
        <v>0.19700000000000001</v>
      </c>
      <c r="M114">
        <v>0.51</v>
      </c>
      <c r="N114">
        <v>0.19400000000000001</v>
      </c>
      <c r="O114">
        <v>3</v>
      </c>
      <c r="P114">
        <v>40</v>
      </c>
      <c r="Q114">
        <v>43</v>
      </c>
    </row>
    <row r="115" spans="1:17" x14ac:dyDescent="0.3">
      <c r="A115">
        <v>114</v>
      </c>
      <c r="B115" s="4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>
        <v>0.18</v>
      </c>
      <c r="L115">
        <v>0.19700000000000001</v>
      </c>
      <c r="M115">
        <v>0.55000000000000004</v>
      </c>
      <c r="N115">
        <v>0.1343</v>
      </c>
      <c r="O115">
        <v>1</v>
      </c>
      <c r="P115">
        <v>41</v>
      </c>
      <c r="Q115">
        <v>42</v>
      </c>
    </row>
    <row r="116" spans="1:17" x14ac:dyDescent="0.3">
      <c r="A116">
        <v>115</v>
      </c>
      <c r="B116" s="4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>
        <v>0.2</v>
      </c>
      <c r="L116">
        <v>0.2576</v>
      </c>
      <c r="M116">
        <v>0.47</v>
      </c>
      <c r="N116">
        <v>0</v>
      </c>
      <c r="O116">
        <v>1</v>
      </c>
      <c r="P116">
        <v>18</v>
      </c>
      <c r="Q116">
        <v>19</v>
      </c>
    </row>
    <row r="117" spans="1:17" x14ac:dyDescent="0.3">
      <c r="A117">
        <v>116</v>
      </c>
      <c r="B117" s="4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>
        <v>0.18</v>
      </c>
      <c r="L117">
        <v>0.2424</v>
      </c>
      <c r="M117">
        <v>0.55000000000000004</v>
      </c>
      <c r="N117">
        <v>0</v>
      </c>
      <c r="O117">
        <v>0</v>
      </c>
      <c r="P117">
        <v>11</v>
      </c>
      <c r="Q117">
        <v>11</v>
      </c>
    </row>
    <row r="118" spans="1:17" x14ac:dyDescent="0.3">
      <c r="A118">
        <v>117</v>
      </c>
      <c r="B118" s="4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>
        <v>0.16</v>
      </c>
      <c r="L118">
        <v>0.2273</v>
      </c>
      <c r="M118">
        <v>0.64</v>
      </c>
      <c r="N118">
        <v>0</v>
      </c>
      <c r="O118">
        <v>0</v>
      </c>
      <c r="P118">
        <v>4</v>
      </c>
      <c r="Q118">
        <v>4</v>
      </c>
    </row>
    <row r="119" spans="1:17" x14ac:dyDescent="0.3">
      <c r="A119">
        <v>118</v>
      </c>
      <c r="B119" s="4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>
        <v>0.16</v>
      </c>
      <c r="L119">
        <v>0.2273</v>
      </c>
      <c r="M119">
        <v>0.64</v>
      </c>
      <c r="N119">
        <v>0</v>
      </c>
      <c r="O119">
        <v>0</v>
      </c>
      <c r="P119">
        <v>2</v>
      </c>
      <c r="Q119">
        <v>2</v>
      </c>
    </row>
    <row r="120" spans="1:17" x14ac:dyDescent="0.3">
      <c r="A120">
        <v>119</v>
      </c>
      <c r="B120" s="4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>
        <v>0.16</v>
      </c>
      <c r="L120">
        <v>0.19700000000000001</v>
      </c>
      <c r="M120">
        <v>0.64</v>
      </c>
      <c r="N120">
        <v>8.9599999999999999E-2</v>
      </c>
      <c r="O120">
        <v>0</v>
      </c>
      <c r="P120">
        <v>1</v>
      </c>
      <c r="Q120">
        <v>1</v>
      </c>
    </row>
    <row r="121" spans="1:17" x14ac:dyDescent="0.3">
      <c r="A121">
        <v>120</v>
      </c>
      <c r="B121" s="4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>
        <v>0.14000000000000001</v>
      </c>
      <c r="L121">
        <v>0.18179999999999999</v>
      </c>
      <c r="M121">
        <v>0.69</v>
      </c>
      <c r="N121">
        <v>8.9599999999999999E-2</v>
      </c>
      <c r="O121">
        <v>0</v>
      </c>
      <c r="P121">
        <v>4</v>
      </c>
      <c r="Q121">
        <v>4</v>
      </c>
    </row>
    <row r="122" spans="1:17" x14ac:dyDescent="0.3">
      <c r="A122">
        <v>121</v>
      </c>
      <c r="B122" s="4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>
        <v>0.14000000000000001</v>
      </c>
      <c r="L122">
        <v>0.16669999999999999</v>
      </c>
      <c r="M122">
        <v>0.63</v>
      </c>
      <c r="N122">
        <v>0.1045</v>
      </c>
      <c r="O122">
        <v>0</v>
      </c>
      <c r="P122">
        <v>36</v>
      </c>
      <c r="Q122">
        <v>36</v>
      </c>
    </row>
    <row r="123" spans="1:17" x14ac:dyDescent="0.3">
      <c r="A123">
        <v>122</v>
      </c>
      <c r="B123" s="4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>
        <v>0.16</v>
      </c>
      <c r="L123">
        <v>0.2273</v>
      </c>
      <c r="M123">
        <v>0.59</v>
      </c>
      <c r="N123">
        <v>0</v>
      </c>
      <c r="O123">
        <v>0</v>
      </c>
      <c r="P123">
        <v>95</v>
      </c>
      <c r="Q123">
        <v>95</v>
      </c>
    </row>
    <row r="124" spans="1:17" x14ac:dyDescent="0.3">
      <c r="A124">
        <v>123</v>
      </c>
      <c r="B124" s="4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>
        <v>0.16</v>
      </c>
      <c r="L124">
        <v>0.2273</v>
      </c>
      <c r="M124">
        <v>0.59</v>
      </c>
      <c r="N124">
        <v>0</v>
      </c>
      <c r="O124">
        <v>3</v>
      </c>
      <c r="P124">
        <v>216</v>
      </c>
      <c r="Q124">
        <v>219</v>
      </c>
    </row>
    <row r="125" spans="1:17" x14ac:dyDescent="0.3">
      <c r="A125">
        <v>124</v>
      </c>
      <c r="B125" s="4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>
        <v>0.18</v>
      </c>
      <c r="L125">
        <v>0.2424</v>
      </c>
      <c r="M125">
        <v>0.51</v>
      </c>
      <c r="N125">
        <v>0</v>
      </c>
      <c r="O125">
        <v>6</v>
      </c>
      <c r="P125">
        <v>116</v>
      </c>
      <c r="Q125">
        <v>122</v>
      </c>
    </row>
    <row r="126" spans="1:17" x14ac:dyDescent="0.3">
      <c r="A126">
        <v>125</v>
      </c>
      <c r="B126" s="4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>
        <v>0.2</v>
      </c>
      <c r="L126">
        <v>0.2576</v>
      </c>
      <c r="M126">
        <v>0.47</v>
      </c>
      <c r="N126">
        <v>0</v>
      </c>
      <c r="O126">
        <v>3</v>
      </c>
      <c r="P126">
        <v>42</v>
      </c>
      <c r="Q126">
        <v>45</v>
      </c>
    </row>
    <row r="127" spans="1:17" x14ac:dyDescent="0.3">
      <c r="A127">
        <v>126</v>
      </c>
      <c r="B127" s="4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>
        <v>0.22</v>
      </c>
      <c r="L127">
        <v>0.2576</v>
      </c>
      <c r="M127">
        <v>0.44</v>
      </c>
      <c r="N127">
        <v>8.9599999999999999E-2</v>
      </c>
      <c r="O127">
        <v>2</v>
      </c>
      <c r="P127">
        <v>57</v>
      </c>
      <c r="Q127">
        <v>59</v>
      </c>
    </row>
    <row r="128" spans="1:17" x14ac:dyDescent="0.3">
      <c r="A128">
        <v>127</v>
      </c>
      <c r="B128" s="4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>
        <v>0.26</v>
      </c>
      <c r="L128">
        <v>0.28789999999999999</v>
      </c>
      <c r="M128">
        <v>0.35</v>
      </c>
      <c r="N128">
        <v>0</v>
      </c>
      <c r="O128">
        <v>6</v>
      </c>
      <c r="P128">
        <v>78</v>
      </c>
      <c r="Q128">
        <v>84</v>
      </c>
    </row>
    <row r="129" spans="1:17" x14ac:dyDescent="0.3">
      <c r="A129">
        <v>128</v>
      </c>
      <c r="B129" s="4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>
        <v>0.26</v>
      </c>
      <c r="L129">
        <v>0.2727</v>
      </c>
      <c r="M129">
        <v>0.35</v>
      </c>
      <c r="N129">
        <v>0.1045</v>
      </c>
      <c r="O129">
        <v>12</v>
      </c>
      <c r="P129">
        <v>55</v>
      </c>
      <c r="Q129">
        <v>67</v>
      </c>
    </row>
    <row r="130" spans="1:17" x14ac:dyDescent="0.3">
      <c r="A130">
        <v>129</v>
      </c>
      <c r="B130" s="4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>
        <v>0.28000000000000003</v>
      </c>
      <c r="L130">
        <v>0.2727</v>
      </c>
      <c r="M130">
        <v>0.36</v>
      </c>
      <c r="N130">
        <v>0.16420000000000001</v>
      </c>
      <c r="O130">
        <v>11</v>
      </c>
      <c r="P130">
        <v>59</v>
      </c>
      <c r="Q130">
        <v>70</v>
      </c>
    </row>
    <row r="131" spans="1:17" x14ac:dyDescent="0.3">
      <c r="A131">
        <v>130</v>
      </c>
      <c r="B131" s="4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>
        <v>0.28000000000000003</v>
      </c>
      <c r="L131">
        <v>0.2727</v>
      </c>
      <c r="M131">
        <v>0.36</v>
      </c>
      <c r="N131">
        <v>0</v>
      </c>
      <c r="O131">
        <v>8</v>
      </c>
      <c r="P131">
        <v>54</v>
      </c>
      <c r="Q131">
        <v>62</v>
      </c>
    </row>
    <row r="132" spans="1:17" x14ac:dyDescent="0.3">
      <c r="A132">
        <v>131</v>
      </c>
      <c r="B132" s="4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>
        <v>0.26</v>
      </c>
      <c r="L132">
        <v>0.2576</v>
      </c>
      <c r="M132">
        <v>0.38</v>
      </c>
      <c r="N132">
        <v>0.16420000000000001</v>
      </c>
      <c r="O132">
        <v>12</v>
      </c>
      <c r="P132">
        <v>74</v>
      </c>
      <c r="Q132">
        <v>86</v>
      </c>
    </row>
    <row r="133" spans="1:17" x14ac:dyDescent="0.3">
      <c r="A133">
        <v>132</v>
      </c>
      <c r="B133" s="4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>
        <v>0.22</v>
      </c>
      <c r="L133">
        <v>0.2273</v>
      </c>
      <c r="M133">
        <v>0.51</v>
      </c>
      <c r="N133">
        <v>0.16420000000000001</v>
      </c>
      <c r="O133">
        <v>9</v>
      </c>
      <c r="P133">
        <v>163</v>
      </c>
      <c r="Q133">
        <v>172</v>
      </c>
    </row>
    <row r="134" spans="1:17" x14ac:dyDescent="0.3">
      <c r="A134">
        <v>133</v>
      </c>
      <c r="B134" s="4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>
        <v>0.22</v>
      </c>
      <c r="L134">
        <v>0.2273</v>
      </c>
      <c r="M134">
        <v>0.51</v>
      </c>
      <c r="N134">
        <v>0.1343</v>
      </c>
      <c r="O134">
        <v>5</v>
      </c>
      <c r="P134">
        <v>158</v>
      </c>
      <c r="Q134">
        <v>163</v>
      </c>
    </row>
    <row r="135" spans="1:17" x14ac:dyDescent="0.3">
      <c r="A135">
        <v>134</v>
      </c>
      <c r="B135" s="4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>
        <v>0.22</v>
      </c>
      <c r="L135">
        <v>0.2576</v>
      </c>
      <c r="M135">
        <v>0.55000000000000004</v>
      </c>
      <c r="N135">
        <v>8.9599999999999999E-2</v>
      </c>
      <c r="O135">
        <v>3</v>
      </c>
      <c r="P135">
        <v>109</v>
      </c>
      <c r="Q135">
        <v>112</v>
      </c>
    </row>
    <row r="136" spans="1:17" x14ac:dyDescent="0.3">
      <c r="A136">
        <v>135</v>
      </c>
      <c r="B136" s="4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>
        <v>0.2</v>
      </c>
      <c r="L136">
        <v>0.21210000000000001</v>
      </c>
      <c r="M136">
        <v>0.51</v>
      </c>
      <c r="N136">
        <v>0.16420000000000001</v>
      </c>
      <c r="O136">
        <v>3</v>
      </c>
      <c r="P136">
        <v>66</v>
      </c>
      <c r="Q136">
        <v>69</v>
      </c>
    </row>
    <row r="137" spans="1:17" x14ac:dyDescent="0.3">
      <c r="A137">
        <v>136</v>
      </c>
      <c r="B137" s="4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>
        <v>0.22</v>
      </c>
      <c r="L137">
        <v>0.21210000000000001</v>
      </c>
      <c r="M137">
        <v>0.55000000000000004</v>
      </c>
      <c r="N137">
        <v>0.22389999999999999</v>
      </c>
      <c r="O137">
        <v>0</v>
      </c>
      <c r="P137">
        <v>48</v>
      </c>
      <c r="Q137">
        <v>48</v>
      </c>
    </row>
    <row r="138" spans="1:17" x14ac:dyDescent="0.3">
      <c r="A138">
        <v>137</v>
      </c>
      <c r="B138" s="4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>
        <v>0.22</v>
      </c>
      <c r="L138">
        <v>0.21210000000000001</v>
      </c>
      <c r="M138">
        <v>0.51</v>
      </c>
      <c r="N138">
        <v>0.28360000000000002</v>
      </c>
      <c r="O138">
        <v>1</v>
      </c>
      <c r="P138">
        <v>51</v>
      </c>
      <c r="Q138">
        <v>52</v>
      </c>
    </row>
    <row r="139" spans="1:17" x14ac:dyDescent="0.3">
      <c r="A139">
        <v>138</v>
      </c>
      <c r="B139" s="4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>
        <v>0.2</v>
      </c>
      <c r="L139">
        <v>0.19700000000000001</v>
      </c>
      <c r="M139">
        <v>0.59</v>
      </c>
      <c r="N139">
        <v>0.19400000000000001</v>
      </c>
      <c r="O139">
        <v>4</v>
      </c>
      <c r="P139">
        <v>19</v>
      </c>
      <c r="Q139">
        <v>23</v>
      </c>
    </row>
    <row r="140" spans="1:17" x14ac:dyDescent="0.3">
      <c r="A140">
        <v>139</v>
      </c>
      <c r="B140" s="4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>
        <v>0.2</v>
      </c>
      <c r="L140">
        <v>0.19700000000000001</v>
      </c>
      <c r="M140">
        <v>0.64</v>
      </c>
      <c r="N140">
        <v>0.19400000000000001</v>
      </c>
      <c r="O140">
        <v>4</v>
      </c>
      <c r="P140">
        <v>13</v>
      </c>
      <c r="Q140">
        <v>17</v>
      </c>
    </row>
    <row r="141" spans="1:17" x14ac:dyDescent="0.3">
      <c r="A141">
        <v>140</v>
      </c>
      <c r="B141" s="4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>
        <v>0.2</v>
      </c>
      <c r="L141">
        <v>0.19700000000000001</v>
      </c>
      <c r="M141">
        <v>0.69</v>
      </c>
      <c r="N141">
        <v>0.22389999999999999</v>
      </c>
      <c r="O141">
        <v>2</v>
      </c>
      <c r="P141">
        <v>5</v>
      </c>
      <c r="Q141">
        <v>7</v>
      </c>
    </row>
    <row r="142" spans="1:17" x14ac:dyDescent="0.3">
      <c r="A142">
        <v>141</v>
      </c>
      <c r="B142" s="4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>
        <v>0.2</v>
      </c>
      <c r="L142">
        <v>0.19700000000000001</v>
      </c>
      <c r="M142">
        <v>0.69</v>
      </c>
      <c r="N142">
        <v>0.22389999999999999</v>
      </c>
      <c r="O142">
        <v>0</v>
      </c>
      <c r="P142">
        <v>1</v>
      </c>
      <c r="Q142">
        <v>1</v>
      </c>
    </row>
    <row r="143" spans="1:17" x14ac:dyDescent="0.3">
      <c r="A143">
        <v>142</v>
      </c>
      <c r="B143" s="4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>
        <v>0.2</v>
      </c>
      <c r="L143">
        <v>0.21210000000000001</v>
      </c>
      <c r="M143">
        <v>0.69</v>
      </c>
      <c r="N143">
        <v>0.1343</v>
      </c>
      <c r="O143">
        <v>0</v>
      </c>
      <c r="P143">
        <v>1</v>
      </c>
      <c r="Q143">
        <v>1</v>
      </c>
    </row>
    <row r="144" spans="1:17" x14ac:dyDescent="0.3">
      <c r="A144">
        <v>143</v>
      </c>
      <c r="B144" s="4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>
        <v>0.22</v>
      </c>
      <c r="L144">
        <v>0.2727</v>
      </c>
      <c r="M144">
        <v>0.55000000000000004</v>
      </c>
      <c r="N144">
        <v>0</v>
      </c>
      <c r="O144">
        <v>0</v>
      </c>
      <c r="P144">
        <v>5</v>
      </c>
      <c r="Q144">
        <v>5</v>
      </c>
    </row>
    <row r="145" spans="1:17" x14ac:dyDescent="0.3">
      <c r="A145">
        <v>144</v>
      </c>
      <c r="B145" s="4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>
        <v>0.2</v>
      </c>
      <c r="L145">
        <v>0.2576</v>
      </c>
      <c r="M145">
        <v>0.69</v>
      </c>
      <c r="N145">
        <v>0</v>
      </c>
      <c r="O145">
        <v>8</v>
      </c>
      <c r="P145">
        <v>26</v>
      </c>
      <c r="Q145">
        <v>34</v>
      </c>
    </row>
    <row r="146" spans="1:17" x14ac:dyDescent="0.3">
      <c r="A146">
        <v>145</v>
      </c>
      <c r="B146" s="4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>
        <v>0.2</v>
      </c>
      <c r="L146">
        <v>0.21210000000000001</v>
      </c>
      <c r="M146">
        <v>0.69</v>
      </c>
      <c r="N146">
        <v>0.1343</v>
      </c>
      <c r="O146">
        <v>8</v>
      </c>
      <c r="P146">
        <v>76</v>
      </c>
      <c r="Q146">
        <v>84</v>
      </c>
    </row>
    <row r="147" spans="1:17" x14ac:dyDescent="0.3">
      <c r="A147">
        <v>146</v>
      </c>
      <c r="B147" s="4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>
        <v>0.2</v>
      </c>
      <c r="L147">
        <v>0.19700000000000001</v>
      </c>
      <c r="M147">
        <v>0.51</v>
      </c>
      <c r="N147">
        <v>0.25369999999999998</v>
      </c>
      <c r="O147">
        <v>20</v>
      </c>
      <c r="P147">
        <v>190</v>
      </c>
      <c r="Q147">
        <v>210</v>
      </c>
    </row>
    <row r="148" spans="1:17" x14ac:dyDescent="0.3">
      <c r="A148">
        <v>147</v>
      </c>
      <c r="B148" s="4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>
        <v>0.2</v>
      </c>
      <c r="L148">
        <v>0.18179999999999999</v>
      </c>
      <c r="M148">
        <v>0.47</v>
      </c>
      <c r="N148">
        <v>0.29849999999999999</v>
      </c>
      <c r="O148">
        <v>9</v>
      </c>
      <c r="P148">
        <v>125</v>
      </c>
      <c r="Q148">
        <v>134</v>
      </c>
    </row>
    <row r="149" spans="1:17" x14ac:dyDescent="0.3">
      <c r="A149">
        <v>148</v>
      </c>
      <c r="B149" s="4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>
        <v>0.22</v>
      </c>
      <c r="L149">
        <v>0.19700000000000001</v>
      </c>
      <c r="M149">
        <v>0.37</v>
      </c>
      <c r="N149">
        <v>0.32840000000000003</v>
      </c>
      <c r="O149">
        <v>16</v>
      </c>
      <c r="P149">
        <v>47</v>
      </c>
      <c r="Q149">
        <v>63</v>
      </c>
    </row>
    <row r="150" spans="1:17" x14ac:dyDescent="0.3">
      <c r="A150">
        <v>149</v>
      </c>
      <c r="B150" s="4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>
        <v>0.2</v>
      </c>
      <c r="L150">
        <v>0.19700000000000001</v>
      </c>
      <c r="M150">
        <v>0.4</v>
      </c>
      <c r="N150">
        <v>0.22389999999999999</v>
      </c>
      <c r="O150">
        <v>19</v>
      </c>
      <c r="P150">
        <v>48</v>
      </c>
      <c r="Q150">
        <v>67</v>
      </c>
    </row>
    <row r="151" spans="1:17" x14ac:dyDescent="0.3">
      <c r="A151">
        <v>150</v>
      </c>
      <c r="B151" s="4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>
        <v>0.2</v>
      </c>
      <c r="L151">
        <v>0.19700000000000001</v>
      </c>
      <c r="M151">
        <v>0.37</v>
      </c>
      <c r="N151">
        <v>0.25369999999999998</v>
      </c>
      <c r="O151">
        <v>9</v>
      </c>
      <c r="P151">
        <v>50</v>
      </c>
      <c r="Q151">
        <v>59</v>
      </c>
    </row>
    <row r="152" spans="1:17" x14ac:dyDescent="0.3">
      <c r="A152">
        <v>151</v>
      </c>
      <c r="B152" s="4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>
        <v>0.2</v>
      </c>
      <c r="L152">
        <v>0.18179999999999999</v>
      </c>
      <c r="M152">
        <v>0.37</v>
      </c>
      <c r="N152">
        <v>0.28360000000000002</v>
      </c>
      <c r="O152">
        <v>9</v>
      </c>
      <c r="P152">
        <v>64</v>
      </c>
      <c r="Q152">
        <v>73</v>
      </c>
    </row>
    <row r="153" spans="1:17" x14ac:dyDescent="0.3">
      <c r="A153">
        <v>152</v>
      </c>
      <c r="B153" s="4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>
        <v>0.2</v>
      </c>
      <c r="L153">
        <v>0.19700000000000001</v>
      </c>
      <c r="M153">
        <v>0.4</v>
      </c>
      <c r="N153">
        <v>0.25369999999999998</v>
      </c>
      <c r="O153">
        <v>7</v>
      </c>
      <c r="P153">
        <v>43</v>
      </c>
      <c r="Q153">
        <v>50</v>
      </c>
    </row>
    <row r="154" spans="1:17" x14ac:dyDescent="0.3">
      <c r="A154">
        <v>153</v>
      </c>
      <c r="B154" s="4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>
        <v>0.2</v>
      </c>
      <c r="L154">
        <v>0.21210000000000001</v>
      </c>
      <c r="M154">
        <v>0.37</v>
      </c>
      <c r="N154">
        <v>0.16420000000000001</v>
      </c>
      <c r="O154">
        <v>9</v>
      </c>
      <c r="P154">
        <v>63</v>
      </c>
      <c r="Q154">
        <v>72</v>
      </c>
    </row>
    <row r="155" spans="1:17" x14ac:dyDescent="0.3">
      <c r="A155">
        <v>154</v>
      </c>
      <c r="B155" s="4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>
        <v>0.2</v>
      </c>
      <c r="L155">
        <v>0.21210000000000001</v>
      </c>
      <c r="M155">
        <v>0.37</v>
      </c>
      <c r="N155">
        <v>0.16420000000000001</v>
      </c>
      <c r="O155">
        <v>5</v>
      </c>
      <c r="P155">
        <v>82</v>
      </c>
      <c r="Q155">
        <v>87</v>
      </c>
    </row>
    <row r="156" spans="1:17" x14ac:dyDescent="0.3">
      <c r="A156">
        <v>155</v>
      </c>
      <c r="B156" s="4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>
        <v>0.2</v>
      </c>
      <c r="L156">
        <v>0.2576</v>
      </c>
      <c r="M156">
        <v>0.37</v>
      </c>
      <c r="N156">
        <v>0</v>
      </c>
      <c r="O156">
        <v>9</v>
      </c>
      <c r="P156">
        <v>178</v>
      </c>
      <c r="Q156">
        <v>187</v>
      </c>
    </row>
    <row r="157" spans="1:17" x14ac:dyDescent="0.3">
      <c r="A157">
        <v>156</v>
      </c>
      <c r="B157" s="4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>
        <v>0.2</v>
      </c>
      <c r="L157">
        <v>0.2273</v>
      </c>
      <c r="M157">
        <v>0.4</v>
      </c>
      <c r="N157">
        <v>8.9599999999999999E-2</v>
      </c>
      <c r="O157">
        <v>7</v>
      </c>
      <c r="P157">
        <v>116</v>
      </c>
      <c r="Q157">
        <v>123</v>
      </c>
    </row>
    <row r="158" spans="1:17" x14ac:dyDescent="0.3">
      <c r="A158">
        <v>157</v>
      </c>
      <c r="B158" s="4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>
        <v>0.16</v>
      </c>
      <c r="L158">
        <v>0.19700000000000001</v>
      </c>
      <c r="M158">
        <v>0.55000000000000004</v>
      </c>
      <c r="N158">
        <v>8.9599999999999999E-2</v>
      </c>
      <c r="O158">
        <v>3</v>
      </c>
      <c r="P158">
        <v>92</v>
      </c>
      <c r="Q158">
        <v>95</v>
      </c>
    </row>
    <row r="159" spans="1:17" x14ac:dyDescent="0.3">
      <c r="A159">
        <v>158</v>
      </c>
      <c r="B159" s="4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>
        <v>0.18</v>
      </c>
      <c r="L159">
        <v>0.21210000000000001</v>
      </c>
      <c r="M159">
        <v>0.47</v>
      </c>
      <c r="N159">
        <v>0.1045</v>
      </c>
      <c r="O159">
        <v>1</v>
      </c>
      <c r="P159">
        <v>50</v>
      </c>
      <c r="Q159">
        <v>51</v>
      </c>
    </row>
    <row r="160" spans="1:17" x14ac:dyDescent="0.3">
      <c r="A160">
        <v>159</v>
      </c>
      <c r="B160" s="4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>
        <v>0.18</v>
      </c>
      <c r="L160">
        <v>0.19700000000000001</v>
      </c>
      <c r="M160">
        <v>0.47</v>
      </c>
      <c r="N160">
        <v>0.1343</v>
      </c>
      <c r="O160">
        <v>0</v>
      </c>
      <c r="P160">
        <v>39</v>
      </c>
      <c r="Q160">
        <v>39</v>
      </c>
    </row>
    <row r="161" spans="1:17" x14ac:dyDescent="0.3">
      <c r="A161">
        <v>160</v>
      </c>
      <c r="B161" s="4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>
        <v>0.18</v>
      </c>
      <c r="L161">
        <v>0.19700000000000001</v>
      </c>
      <c r="M161">
        <v>0.43</v>
      </c>
      <c r="N161">
        <v>0.16420000000000001</v>
      </c>
      <c r="O161">
        <v>2</v>
      </c>
      <c r="P161">
        <v>34</v>
      </c>
      <c r="Q161">
        <v>36</v>
      </c>
    </row>
    <row r="162" spans="1:17" x14ac:dyDescent="0.3">
      <c r="A162">
        <v>161</v>
      </c>
      <c r="B162" s="4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>
        <v>0.18</v>
      </c>
      <c r="L162">
        <v>0.19700000000000001</v>
      </c>
      <c r="M162">
        <v>0.51</v>
      </c>
      <c r="N162">
        <v>0.16420000000000001</v>
      </c>
      <c r="O162">
        <v>1</v>
      </c>
      <c r="P162">
        <v>14</v>
      </c>
      <c r="Q162">
        <v>15</v>
      </c>
    </row>
    <row r="163" spans="1:17" x14ac:dyDescent="0.3">
      <c r="A163">
        <v>162</v>
      </c>
      <c r="B163" s="4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>
        <v>0.18</v>
      </c>
      <c r="L163">
        <v>0.19700000000000001</v>
      </c>
      <c r="M163">
        <v>0.51</v>
      </c>
      <c r="N163">
        <v>0.16420000000000001</v>
      </c>
      <c r="O163">
        <v>1</v>
      </c>
      <c r="P163">
        <v>24</v>
      </c>
      <c r="Q163">
        <v>25</v>
      </c>
    </row>
    <row r="164" spans="1:17" x14ac:dyDescent="0.3">
      <c r="A164">
        <v>163</v>
      </c>
      <c r="B164" s="4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>
        <v>0.18</v>
      </c>
      <c r="L164">
        <v>0.21210000000000001</v>
      </c>
      <c r="M164">
        <v>0.55000000000000004</v>
      </c>
      <c r="N164">
        <v>8.9599999999999999E-2</v>
      </c>
      <c r="O164">
        <v>1</v>
      </c>
      <c r="P164">
        <v>15</v>
      </c>
      <c r="Q164">
        <v>16</v>
      </c>
    </row>
    <row r="165" spans="1:17" x14ac:dyDescent="0.3">
      <c r="A165">
        <v>164</v>
      </c>
      <c r="B165" s="4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>
        <v>0.18</v>
      </c>
      <c r="L165">
        <v>0.2424</v>
      </c>
      <c r="M165">
        <v>0.55000000000000004</v>
      </c>
      <c r="N165">
        <v>0</v>
      </c>
      <c r="O165">
        <v>3</v>
      </c>
      <c r="P165">
        <v>13</v>
      </c>
      <c r="Q165">
        <v>16</v>
      </c>
    </row>
    <row r="166" spans="1:17" x14ac:dyDescent="0.3">
      <c r="A166">
        <v>165</v>
      </c>
      <c r="B166" s="4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>
        <v>0.18</v>
      </c>
      <c r="L166">
        <v>0.19700000000000001</v>
      </c>
      <c r="M166">
        <v>0.55000000000000004</v>
      </c>
      <c r="N166">
        <v>0.16420000000000001</v>
      </c>
      <c r="O166">
        <v>0</v>
      </c>
      <c r="P166">
        <v>7</v>
      </c>
      <c r="Q166">
        <v>7</v>
      </c>
    </row>
    <row r="167" spans="1:17" x14ac:dyDescent="0.3">
      <c r="A167">
        <v>166</v>
      </c>
      <c r="B167" s="4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>
        <v>0.18</v>
      </c>
      <c r="L167">
        <v>0.19700000000000001</v>
      </c>
      <c r="M167">
        <v>0.55000000000000004</v>
      </c>
      <c r="N167">
        <v>0.16420000000000001</v>
      </c>
      <c r="O167">
        <v>0</v>
      </c>
      <c r="P167">
        <v>1</v>
      </c>
      <c r="Q167">
        <v>1</v>
      </c>
    </row>
    <row r="168" spans="1:17" x14ac:dyDescent="0.3">
      <c r="A168">
        <v>167</v>
      </c>
      <c r="B168" s="4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>
        <v>0.16</v>
      </c>
      <c r="L168">
        <v>0.16669999999999999</v>
      </c>
      <c r="M168">
        <v>0.74</v>
      </c>
      <c r="N168">
        <v>0.16420000000000001</v>
      </c>
      <c r="O168">
        <v>0</v>
      </c>
      <c r="P168">
        <v>5</v>
      </c>
      <c r="Q168">
        <v>5</v>
      </c>
    </row>
    <row r="169" spans="1:17" x14ac:dyDescent="0.3">
      <c r="A169">
        <v>168</v>
      </c>
      <c r="B169" s="4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>
        <v>0.16</v>
      </c>
      <c r="L169">
        <v>0.16669999999999999</v>
      </c>
      <c r="M169">
        <v>0.74</v>
      </c>
      <c r="N169">
        <v>0.16420000000000001</v>
      </c>
      <c r="O169">
        <v>0</v>
      </c>
      <c r="P169">
        <v>2</v>
      </c>
      <c r="Q169">
        <v>2</v>
      </c>
    </row>
    <row r="170" spans="1:17" x14ac:dyDescent="0.3">
      <c r="A170">
        <v>169</v>
      </c>
      <c r="B170" s="4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>
        <v>0.16</v>
      </c>
      <c r="L170">
        <v>0.18179999999999999</v>
      </c>
      <c r="M170">
        <v>0.74</v>
      </c>
      <c r="N170">
        <v>0.1045</v>
      </c>
      <c r="O170">
        <v>1</v>
      </c>
      <c r="P170">
        <v>8</v>
      </c>
      <c r="Q170">
        <v>9</v>
      </c>
    </row>
    <row r="171" spans="1:17" x14ac:dyDescent="0.3">
      <c r="A171">
        <v>170</v>
      </c>
      <c r="B171" s="4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>
        <v>0.16</v>
      </c>
      <c r="L171">
        <v>0.18179999999999999</v>
      </c>
      <c r="M171">
        <v>0.93</v>
      </c>
      <c r="N171">
        <v>0.1045</v>
      </c>
      <c r="O171">
        <v>0</v>
      </c>
      <c r="P171">
        <v>15</v>
      </c>
      <c r="Q171">
        <v>15</v>
      </c>
    </row>
    <row r="172" spans="1:17" x14ac:dyDescent="0.3">
      <c r="A172">
        <v>171</v>
      </c>
      <c r="B172" s="4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>
        <v>0.16</v>
      </c>
      <c r="L172">
        <v>0.18179999999999999</v>
      </c>
      <c r="M172">
        <v>0.93</v>
      </c>
      <c r="N172">
        <v>0.1045</v>
      </c>
      <c r="O172">
        <v>0</v>
      </c>
      <c r="P172">
        <v>20</v>
      </c>
      <c r="Q172">
        <v>20</v>
      </c>
    </row>
    <row r="173" spans="1:17" x14ac:dyDescent="0.3">
      <c r="A173">
        <v>172</v>
      </c>
      <c r="B173" s="4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>
        <v>0.18</v>
      </c>
      <c r="L173">
        <v>0.19700000000000001</v>
      </c>
      <c r="M173">
        <v>0.8</v>
      </c>
      <c r="N173">
        <v>0.16420000000000001</v>
      </c>
      <c r="O173">
        <v>5</v>
      </c>
      <c r="P173">
        <v>56</v>
      </c>
      <c r="Q173">
        <v>61</v>
      </c>
    </row>
    <row r="174" spans="1:17" x14ac:dyDescent="0.3">
      <c r="A174">
        <v>173</v>
      </c>
      <c r="B174" s="4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>
        <v>0.2</v>
      </c>
      <c r="L174">
        <v>0.18179999999999999</v>
      </c>
      <c r="M174">
        <v>0.69</v>
      </c>
      <c r="N174">
        <v>0.3881</v>
      </c>
      <c r="O174">
        <v>2</v>
      </c>
      <c r="P174">
        <v>60</v>
      </c>
      <c r="Q174">
        <v>62</v>
      </c>
    </row>
    <row r="175" spans="1:17" x14ac:dyDescent="0.3">
      <c r="A175">
        <v>174</v>
      </c>
      <c r="B175" s="4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>
        <v>0.2</v>
      </c>
      <c r="L175">
        <v>0.18179999999999999</v>
      </c>
      <c r="M175">
        <v>0.59</v>
      </c>
      <c r="N175">
        <v>0.35820000000000002</v>
      </c>
      <c r="O175">
        <v>8</v>
      </c>
      <c r="P175">
        <v>90</v>
      </c>
      <c r="Q175">
        <v>98</v>
      </c>
    </row>
    <row r="176" spans="1:17" x14ac:dyDescent="0.3">
      <c r="A176">
        <v>175</v>
      </c>
      <c r="B176" s="4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>
        <v>0.2</v>
      </c>
      <c r="L176">
        <v>0.18179999999999999</v>
      </c>
      <c r="M176">
        <v>0.44</v>
      </c>
      <c r="N176">
        <v>0.32840000000000003</v>
      </c>
      <c r="O176">
        <v>7</v>
      </c>
      <c r="P176">
        <v>95</v>
      </c>
      <c r="Q176">
        <v>102</v>
      </c>
    </row>
    <row r="177" spans="1:17" x14ac:dyDescent="0.3">
      <c r="A177">
        <v>176</v>
      </c>
      <c r="B177" s="4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>
        <v>0.2</v>
      </c>
      <c r="L177">
        <v>0.16669999999999999</v>
      </c>
      <c r="M177">
        <v>0.32</v>
      </c>
      <c r="N177">
        <v>0.49249999999999999</v>
      </c>
      <c r="O177">
        <v>12</v>
      </c>
      <c r="P177">
        <v>83</v>
      </c>
      <c r="Q177">
        <v>95</v>
      </c>
    </row>
    <row r="178" spans="1:17" x14ac:dyDescent="0.3">
      <c r="A178">
        <v>177</v>
      </c>
      <c r="B178" s="4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>
        <v>0.2</v>
      </c>
      <c r="L178">
        <v>0.16669999999999999</v>
      </c>
      <c r="M178">
        <v>0.32</v>
      </c>
      <c r="N178">
        <v>0.44779999999999998</v>
      </c>
      <c r="O178">
        <v>5</v>
      </c>
      <c r="P178">
        <v>69</v>
      </c>
      <c r="Q178">
        <v>74</v>
      </c>
    </row>
    <row r="179" spans="1:17" x14ac:dyDescent="0.3">
      <c r="A179">
        <v>178</v>
      </c>
      <c r="B179" s="4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>
        <v>0.18</v>
      </c>
      <c r="L179">
        <v>0.13639999999999999</v>
      </c>
      <c r="M179">
        <v>0.28999999999999998</v>
      </c>
      <c r="N179">
        <v>0.44779999999999998</v>
      </c>
      <c r="O179">
        <v>8</v>
      </c>
      <c r="P179">
        <v>68</v>
      </c>
      <c r="Q179">
        <v>76</v>
      </c>
    </row>
    <row r="180" spans="1:17" x14ac:dyDescent="0.3">
      <c r="A180">
        <v>179</v>
      </c>
      <c r="B180" s="4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>
        <v>0.16</v>
      </c>
      <c r="L180">
        <v>0.1212</v>
      </c>
      <c r="M180">
        <v>0.37</v>
      </c>
      <c r="N180">
        <v>0.55220000000000002</v>
      </c>
      <c r="O180">
        <v>5</v>
      </c>
      <c r="P180">
        <v>64</v>
      </c>
      <c r="Q180">
        <v>69</v>
      </c>
    </row>
    <row r="181" spans="1:17" x14ac:dyDescent="0.3">
      <c r="A181">
        <v>180</v>
      </c>
      <c r="B181" s="4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>
        <v>0.14000000000000001</v>
      </c>
      <c r="L181">
        <v>0.1212</v>
      </c>
      <c r="M181">
        <v>0.39</v>
      </c>
      <c r="N181">
        <v>0.29849999999999999</v>
      </c>
      <c r="O181">
        <v>3</v>
      </c>
      <c r="P181">
        <v>52</v>
      </c>
      <c r="Q181">
        <v>55</v>
      </c>
    </row>
    <row r="182" spans="1:17" x14ac:dyDescent="0.3">
      <c r="A182">
        <v>181</v>
      </c>
      <c r="B182" s="4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>
        <v>0.14000000000000001</v>
      </c>
      <c r="L182">
        <v>0.1212</v>
      </c>
      <c r="M182">
        <v>0.36</v>
      </c>
      <c r="N182">
        <v>0.25369999999999998</v>
      </c>
      <c r="O182">
        <v>4</v>
      </c>
      <c r="P182">
        <v>26</v>
      </c>
      <c r="Q182">
        <v>30</v>
      </c>
    </row>
    <row r="183" spans="1:17" x14ac:dyDescent="0.3">
      <c r="A183">
        <v>182</v>
      </c>
      <c r="B183" s="4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>
        <v>0.12</v>
      </c>
      <c r="L183">
        <v>0.1212</v>
      </c>
      <c r="M183">
        <v>0.36</v>
      </c>
      <c r="N183">
        <v>0.25369999999999998</v>
      </c>
      <c r="O183">
        <v>0</v>
      </c>
      <c r="P183">
        <v>28</v>
      </c>
      <c r="Q183">
        <v>28</v>
      </c>
    </row>
    <row r="184" spans="1:17" x14ac:dyDescent="0.3">
      <c r="A184">
        <v>183</v>
      </c>
      <c r="B184" s="4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>
        <v>0.12</v>
      </c>
      <c r="L184">
        <v>0.1061</v>
      </c>
      <c r="M184">
        <v>0.39</v>
      </c>
      <c r="N184">
        <v>0.35820000000000002</v>
      </c>
      <c r="O184">
        <v>2</v>
      </c>
      <c r="P184">
        <v>35</v>
      </c>
      <c r="Q184">
        <v>37</v>
      </c>
    </row>
    <row r="185" spans="1:17" x14ac:dyDescent="0.3">
      <c r="A185">
        <v>184</v>
      </c>
      <c r="B185" s="4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>
        <v>0.12</v>
      </c>
      <c r="L185">
        <v>0.1061</v>
      </c>
      <c r="M185">
        <v>0.36</v>
      </c>
      <c r="N185">
        <v>0.3881</v>
      </c>
      <c r="O185">
        <v>1</v>
      </c>
      <c r="P185">
        <v>33</v>
      </c>
      <c r="Q185">
        <v>34</v>
      </c>
    </row>
    <row r="186" spans="1:17" x14ac:dyDescent="0.3">
      <c r="A186">
        <v>185</v>
      </c>
      <c r="B186" s="4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>
        <v>0.1</v>
      </c>
      <c r="L186">
        <v>6.0600000000000001E-2</v>
      </c>
      <c r="M186">
        <v>0.39</v>
      </c>
      <c r="N186">
        <v>0.44779999999999998</v>
      </c>
      <c r="O186">
        <v>0</v>
      </c>
      <c r="P186">
        <v>22</v>
      </c>
      <c r="Q186">
        <v>22</v>
      </c>
    </row>
    <row r="187" spans="1:17" x14ac:dyDescent="0.3">
      <c r="A187">
        <v>186</v>
      </c>
      <c r="B187" s="4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0.1</v>
      </c>
      <c r="L187">
        <v>7.5800000000000006E-2</v>
      </c>
      <c r="M187">
        <v>0.42</v>
      </c>
      <c r="N187">
        <v>0.3881</v>
      </c>
      <c r="O187">
        <v>1</v>
      </c>
      <c r="P187">
        <v>24</v>
      </c>
      <c r="Q187">
        <v>25</v>
      </c>
    </row>
    <row r="188" spans="1:17" x14ac:dyDescent="0.3">
      <c r="A188">
        <v>187</v>
      </c>
      <c r="B188" s="4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0.1</v>
      </c>
      <c r="L188">
        <v>6.0600000000000001E-2</v>
      </c>
      <c r="M188">
        <v>0.42</v>
      </c>
      <c r="N188">
        <v>0.4627</v>
      </c>
      <c r="O188">
        <v>0</v>
      </c>
      <c r="P188">
        <v>12</v>
      </c>
      <c r="Q188">
        <v>12</v>
      </c>
    </row>
    <row r="189" spans="1:17" x14ac:dyDescent="0.3">
      <c r="A189">
        <v>188</v>
      </c>
      <c r="B189" s="4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>
        <v>0.1</v>
      </c>
      <c r="L189">
        <v>6.0600000000000001E-2</v>
      </c>
      <c r="M189">
        <v>0.46</v>
      </c>
      <c r="N189">
        <v>0.4627</v>
      </c>
      <c r="O189">
        <v>0</v>
      </c>
      <c r="P189">
        <v>11</v>
      </c>
      <c r="Q189">
        <v>11</v>
      </c>
    </row>
    <row r="190" spans="1:17" x14ac:dyDescent="0.3">
      <c r="A190">
        <v>189</v>
      </c>
      <c r="B190" s="4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>
        <v>0.1</v>
      </c>
      <c r="L190">
        <v>7.5800000000000006E-2</v>
      </c>
      <c r="M190">
        <v>0.46</v>
      </c>
      <c r="N190">
        <v>0.41789999999999999</v>
      </c>
      <c r="O190">
        <v>0</v>
      </c>
      <c r="P190">
        <v>4</v>
      </c>
      <c r="Q190">
        <v>4</v>
      </c>
    </row>
    <row r="191" spans="1:17" x14ac:dyDescent="0.3">
      <c r="A191">
        <v>190</v>
      </c>
      <c r="B191" s="4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0.08</v>
      </c>
      <c r="L191">
        <v>9.0899999999999995E-2</v>
      </c>
      <c r="M191">
        <v>0.53</v>
      </c>
      <c r="N191">
        <v>0.19400000000000001</v>
      </c>
      <c r="O191">
        <v>0</v>
      </c>
      <c r="P191">
        <v>1</v>
      </c>
      <c r="Q191">
        <v>1</v>
      </c>
    </row>
    <row r="192" spans="1:17" x14ac:dyDescent="0.3">
      <c r="A192">
        <v>191</v>
      </c>
      <c r="B192" s="4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>
        <v>0.08</v>
      </c>
      <c r="L192">
        <v>9.0899999999999995E-2</v>
      </c>
      <c r="M192">
        <v>0.53</v>
      </c>
      <c r="N192">
        <v>0.19400000000000001</v>
      </c>
      <c r="O192">
        <v>0</v>
      </c>
      <c r="P192">
        <v>1</v>
      </c>
      <c r="Q192">
        <v>1</v>
      </c>
    </row>
    <row r="193" spans="1:17" x14ac:dyDescent="0.3">
      <c r="A193">
        <v>192</v>
      </c>
      <c r="B193" s="4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0.1</v>
      </c>
      <c r="L193">
        <v>9.0899999999999995E-2</v>
      </c>
      <c r="M193">
        <v>0.49</v>
      </c>
      <c r="N193">
        <v>0.28360000000000002</v>
      </c>
      <c r="O193">
        <v>0</v>
      </c>
      <c r="P193">
        <v>1</v>
      </c>
      <c r="Q193">
        <v>1</v>
      </c>
    </row>
    <row r="194" spans="1:17" x14ac:dyDescent="0.3">
      <c r="A194">
        <v>193</v>
      </c>
      <c r="B194" s="4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>
        <v>0.08</v>
      </c>
      <c r="L194">
        <v>9.0899999999999995E-2</v>
      </c>
      <c r="M194">
        <v>0.53</v>
      </c>
      <c r="N194">
        <v>0.19400000000000001</v>
      </c>
      <c r="O194">
        <v>1</v>
      </c>
      <c r="P194">
        <v>5</v>
      </c>
      <c r="Q194">
        <v>6</v>
      </c>
    </row>
    <row r="195" spans="1:17" x14ac:dyDescent="0.3">
      <c r="A195">
        <v>194</v>
      </c>
      <c r="B195" s="4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>
        <v>0.1</v>
      </c>
      <c r="L195">
        <v>9.0899999999999995E-2</v>
      </c>
      <c r="M195">
        <v>0.49</v>
      </c>
      <c r="N195">
        <v>0.28360000000000002</v>
      </c>
      <c r="O195">
        <v>0</v>
      </c>
      <c r="P195">
        <v>10</v>
      </c>
      <c r="Q195">
        <v>10</v>
      </c>
    </row>
    <row r="196" spans="1:17" x14ac:dyDescent="0.3">
      <c r="A196">
        <v>195</v>
      </c>
      <c r="B196" s="4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>
        <v>0.12</v>
      </c>
      <c r="L196">
        <v>7.5800000000000006E-2</v>
      </c>
      <c r="M196">
        <v>0.46</v>
      </c>
      <c r="N196">
        <v>0.52239999999999998</v>
      </c>
      <c r="O196">
        <v>0</v>
      </c>
      <c r="P196">
        <v>19</v>
      </c>
      <c r="Q196">
        <v>19</v>
      </c>
    </row>
    <row r="197" spans="1:17" x14ac:dyDescent="0.3">
      <c r="A197">
        <v>196</v>
      </c>
      <c r="B197" s="4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>
        <v>0.14000000000000001</v>
      </c>
      <c r="L197">
        <v>0.1061</v>
      </c>
      <c r="M197">
        <v>0.43</v>
      </c>
      <c r="N197">
        <v>0.3881</v>
      </c>
      <c r="O197">
        <v>0</v>
      </c>
      <c r="P197">
        <v>49</v>
      </c>
      <c r="Q197">
        <v>49</v>
      </c>
    </row>
    <row r="198" spans="1:17" x14ac:dyDescent="0.3">
      <c r="A198">
        <v>197</v>
      </c>
      <c r="B198" s="4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>
        <v>0.16</v>
      </c>
      <c r="L198">
        <v>0.1212</v>
      </c>
      <c r="M198">
        <v>0.4</v>
      </c>
      <c r="N198">
        <v>0.52239999999999998</v>
      </c>
      <c r="O198">
        <v>2</v>
      </c>
      <c r="P198">
        <v>47</v>
      </c>
      <c r="Q198">
        <v>49</v>
      </c>
    </row>
    <row r="199" spans="1:17" x14ac:dyDescent="0.3">
      <c r="A199">
        <v>198</v>
      </c>
      <c r="B199" s="4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>
        <v>0.18</v>
      </c>
      <c r="L199">
        <v>0.13639999999999999</v>
      </c>
      <c r="M199">
        <v>0.37</v>
      </c>
      <c r="N199">
        <v>0.44779999999999998</v>
      </c>
      <c r="O199">
        <v>4</v>
      </c>
      <c r="P199">
        <v>79</v>
      </c>
      <c r="Q199">
        <v>83</v>
      </c>
    </row>
    <row r="200" spans="1:17" x14ac:dyDescent="0.3">
      <c r="A200">
        <v>199</v>
      </c>
      <c r="B200" s="4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>
        <v>0.2</v>
      </c>
      <c r="L200">
        <v>0.16669999999999999</v>
      </c>
      <c r="M200">
        <v>0.34</v>
      </c>
      <c r="N200">
        <v>0.44779999999999998</v>
      </c>
      <c r="O200">
        <v>6</v>
      </c>
      <c r="P200">
        <v>69</v>
      </c>
      <c r="Q200">
        <v>75</v>
      </c>
    </row>
    <row r="201" spans="1:17" x14ac:dyDescent="0.3">
      <c r="A201">
        <v>200</v>
      </c>
      <c r="B201" s="4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>
        <v>0.22</v>
      </c>
      <c r="L201">
        <v>0.18179999999999999</v>
      </c>
      <c r="M201">
        <v>0.32</v>
      </c>
      <c r="N201">
        <v>0.4627</v>
      </c>
      <c r="O201">
        <v>8</v>
      </c>
      <c r="P201">
        <v>64</v>
      </c>
      <c r="Q201">
        <v>72</v>
      </c>
    </row>
    <row r="202" spans="1:17" x14ac:dyDescent="0.3">
      <c r="A202">
        <v>201</v>
      </c>
      <c r="B202" s="4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>
        <v>0.22</v>
      </c>
      <c r="L202">
        <v>0.19700000000000001</v>
      </c>
      <c r="M202">
        <v>0.35</v>
      </c>
      <c r="N202">
        <v>0.35820000000000002</v>
      </c>
      <c r="O202">
        <v>5</v>
      </c>
      <c r="P202">
        <v>77</v>
      </c>
      <c r="Q202">
        <v>82</v>
      </c>
    </row>
    <row r="203" spans="1:17" x14ac:dyDescent="0.3">
      <c r="A203">
        <v>202</v>
      </c>
      <c r="B203" s="4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>
        <v>0.2</v>
      </c>
      <c r="L203">
        <v>0.16669999999999999</v>
      </c>
      <c r="M203">
        <v>0.34</v>
      </c>
      <c r="N203">
        <v>0.44779999999999998</v>
      </c>
      <c r="O203">
        <v>13</v>
      </c>
      <c r="P203">
        <v>79</v>
      </c>
      <c r="Q203">
        <v>92</v>
      </c>
    </row>
    <row r="204" spans="1:17" x14ac:dyDescent="0.3">
      <c r="A204">
        <v>203</v>
      </c>
      <c r="B204" s="4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>
        <v>0.18</v>
      </c>
      <c r="L204">
        <v>0.1515</v>
      </c>
      <c r="M204">
        <v>0.37</v>
      </c>
      <c r="N204">
        <v>0.3881</v>
      </c>
      <c r="O204">
        <v>3</v>
      </c>
      <c r="P204">
        <v>59</v>
      </c>
      <c r="Q204">
        <v>62</v>
      </c>
    </row>
    <row r="205" spans="1:17" x14ac:dyDescent="0.3">
      <c r="A205">
        <v>204</v>
      </c>
      <c r="B205" s="4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>
        <v>0.16</v>
      </c>
      <c r="L205">
        <v>0.13639999999999999</v>
      </c>
      <c r="M205">
        <v>0.4</v>
      </c>
      <c r="N205">
        <v>0.32840000000000003</v>
      </c>
      <c r="O205">
        <v>4</v>
      </c>
      <c r="P205">
        <v>44</v>
      </c>
      <c r="Q205">
        <v>48</v>
      </c>
    </row>
    <row r="206" spans="1:17" x14ac:dyDescent="0.3">
      <c r="A206">
        <v>205</v>
      </c>
      <c r="B206" s="4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>
        <v>0.16</v>
      </c>
      <c r="L206">
        <v>0.13639999999999999</v>
      </c>
      <c r="M206">
        <v>0.43</v>
      </c>
      <c r="N206">
        <v>0.32840000000000003</v>
      </c>
      <c r="O206">
        <v>1</v>
      </c>
      <c r="P206">
        <v>40</v>
      </c>
      <c r="Q206">
        <v>41</v>
      </c>
    </row>
    <row r="207" spans="1:17" x14ac:dyDescent="0.3">
      <c r="A207">
        <v>206</v>
      </c>
      <c r="B207" s="4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>
        <v>0.14000000000000001</v>
      </c>
      <c r="L207">
        <v>0.1212</v>
      </c>
      <c r="M207">
        <v>0.46</v>
      </c>
      <c r="N207">
        <v>0.25369999999999998</v>
      </c>
      <c r="O207">
        <v>0</v>
      </c>
      <c r="P207">
        <v>38</v>
      </c>
      <c r="Q207">
        <v>38</v>
      </c>
    </row>
    <row r="208" spans="1:17" x14ac:dyDescent="0.3">
      <c r="A208">
        <v>207</v>
      </c>
      <c r="B208" s="4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>
        <v>0.14000000000000001</v>
      </c>
      <c r="L208">
        <v>0.1061</v>
      </c>
      <c r="M208">
        <v>0.46</v>
      </c>
      <c r="N208">
        <v>0.41789999999999999</v>
      </c>
      <c r="O208">
        <v>1</v>
      </c>
      <c r="P208">
        <v>19</v>
      </c>
      <c r="Q208">
        <v>20</v>
      </c>
    </row>
    <row r="209" spans="1:17" x14ac:dyDescent="0.3">
      <c r="A209">
        <v>208</v>
      </c>
      <c r="B209" s="4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>
        <v>0.14000000000000001</v>
      </c>
      <c r="L209">
        <v>0.1212</v>
      </c>
      <c r="M209">
        <v>0.46</v>
      </c>
      <c r="N209">
        <v>0.29849999999999999</v>
      </c>
      <c r="O209">
        <v>5</v>
      </c>
      <c r="P209">
        <v>10</v>
      </c>
      <c r="Q209">
        <v>15</v>
      </c>
    </row>
    <row r="210" spans="1:17" x14ac:dyDescent="0.3">
      <c r="A210">
        <v>209</v>
      </c>
      <c r="B210" s="4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>
        <v>0.12</v>
      </c>
      <c r="L210">
        <v>0.13639999999999999</v>
      </c>
      <c r="M210">
        <v>0.5</v>
      </c>
      <c r="N210">
        <v>0.19400000000000001</v>
      </c>
      <c r="O210">
        <v>0</v>
      </c>
      <c r="P210">
        <v>6</v>
      </c>
      <c r="Q210">
        <v>6</v>
      </c>
    </row>
    <row r="211" spans="1:17" x14ac:dyDescent="0.3">
      <c r="A211">
        <v>210</v>
      </c>
      <c r="B211" s="4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0.12</v>
      </c>
      <c r="L211">
        <v>0.1212</v>
      </c>
      <c r="M211">
        <v>0.5</v>
      </c>
      <c r="N211">
        <v>0.28360000000000002</v>
      </c>
      <c r="O211">
        <v>2</v>
      </c>
      <c r="P211">
        <v>3</v>
      </c>
      <c r="Q211">
        <v>5</v>
      </c>
    </row>
    <row r="212" spans="1:17" x14ac:dyDescent="0.3">
      <c r="A212">
        <v>211</v>
      </c>
      <c r="B212" s="4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0.12</v>
      </c>
      <c r="L212">
        <v>0.1212</v>
      </c>
      <c r="M212">
        <v>0.5</v>
      </c>
      <c r="N212">
        <v>0.28360000000000002</v>
      </c>
      <c r="O212">
        <v>1</v>
      </c>
      <c r="P212">
        <v>0</v>
      </c>
      <c r="Q212">
        <v>1</v>
      </c>
    </row>
    <row r="213" spans="1:17" x14ac:dyDescent="0.3">
      <c r="A213">
        <v>212</v>
      </c>
      <c r="B213" s="4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>
        <v>0.12</v>
      </c>
      <c r="L213">
        <v>0.1212</v>
      </c>
      <c r="M213">
        <v>0.5</v>
      </c>
      <c r="N213">
        <v>0.22389999999999999</v>
      </c>
      <c r="O213">
        <v>0</v>
      </c>
      <c r="P213">
        <v>3</v>
      </c>
      <c r="Q213">
        <v>3</v>
      </c>
    </row>
    <row r="214" spans="1:17" x14ac:dyDescent="0.3">
      <c r="A214">
        <v>213</v>
      </c>
      <c r="B214" s="4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0.12</v>
      </c>
      <c r="L214">
        <v>0.1212</v>
      </c>
      <c r="M214">
        <v>0.5</v>
      </c>
      <c r="N214">
        <v>0.22389999999999999</v>
      </c>
      <c r="O214">
        <v>0</v>
      </c>
      <c r="P214">
        <v>1</v>
      </c>
      <c r="Q214">
        <v>1</v>
      </c>
    </row>
    <row r="215" spans="1:17" x14ac:dyDescent="0.3">
      <c r="A215">
        <v>214</v>
      </c>
      <c r="B215" s="4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>
        <v>0.1</v>
      </c>
      <c r="L215">
        <v>0.1212</v>
      </c>
      <c r="M215">
        <v>0.54</v>
      </c>
      <c r="N215">
        <v>0.1343</v>
      </c>
      <c r="O215">
        <v>1</v>
      </c>
      <c r="P215">
        <v>2</v>
      </c>
      <c r="Q215">
        <v>3</v>
      </c>
    </row>
    <row r="216" spans="1:17" x14ac:dyDescent="0.3">
      <c r="A216">
        <v>215</v>
      </c>
      <c r="B216" s="4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>
        <v>0.1</v>
      </c>
      <c r="L216">
        <v>0.1061</v>
      </c>
      <c r="M216">
        <v>0.54</v>
      </c>
      <c r="N216">
        <v>0.25369999999999998</v>
      </c>
      <c r="O216">
        <v>0</v>
      </c>
      <c r="P216">
        <v>3</v>
      </c>
      <c r="Q216">
        <v>3</v>
      </c>
    </row>
    <row r="217" spans="1:17" x14ac:dyDescent="0.3">
      <c r="A217">
        <v>216</v>
      </c>
      <c r="B217" s="4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>
        <v>0.12</v>
      </c>
      <c r="L217">
        <v>0.1212</v>
      </c>
      <c r="M217">
        <v>0.5</v>
      </c>
      <c r="N217">
        <v>0.28360000000000002</v>
      </c>
      <c r="O217">
        <v>0</v>
      </c>
      <c r="P217">
        <v>31</v>
      </c>
      <c r="Q217">
        <v>31</v>
      </c>
    </row>
    <row r="218" spans="1:17" x14ac:dyDescent="0.3">
      <c r="A218">
        <v>217</v>
      </c>
      <c r="B218" s="4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>
        <v>0.12</v>
      </c>
      <c r="L218">
        <v>0.1212</v>
      </c>
      <c r="M218">
        <v>0.5</v>
      </c>
      <c r="N218">
        <v>0.22389999999999999</v>
      </c>
      <c r="O218">
        <v>2</v>
      </c>
      <c r="P218">
        <v>75</v>
      </c>
      <c r="Q218">
        <v>77</v>
      </c>
    </row>
    <row r="219" spans="1:17" x14ac:dyDescent="0.3">
      <c r="A219">
        <v>218</v>
      </c>
      <c r="B219" s="4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>
        <v>0.12</v>
      </c>
      <c r="L219">
        <v>0.1212</v>
      </c>
      <c r="M219">
        <v>0.5</v>
      </c>
      <c r="N219">
        <v>0.28360000000000002</v>
      </c>
      <c r="O219">
        <v>4</v>
      </c>
      <c r="P219">
        <v>184</v>
      </c>
      <c r="Q219">
        <v>188</v>
      </c>
    </row>
    <row r="220" spans="1:17" x14ac:dyDescent="0.3">
      <c r="A220">
        <v>219</v>
      </c>
      <c r="B220" s="4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>
        <v>0.14000000000000001</v>
      </c>
      <c r="L220">
        <v>0.1212</v>
      </c>
      <c r="M220">
        <v>0.5</v>
      </c>
      <c r="N220">
        <v>0.25369999999999998</v>
      </c>
      <c r="O220">
        <v>2</v>
      </c>
      <c r="P220">
        <v>92</v>
      </c>
      <c r="Q220">
        <v>94</v>
      </c>
    </row>
    <row r="221" spans="1:17" x14ac:dyDescent="0.3">
      <c r="A221">
        <v>220</v>
      </c>
      <c r="B221" s="4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>
        <v>0.14000000000000001</v>
      </c>
      <c r="L221">
        <v>0.1212</v>
      </c>
      <c r="M221">
        <v>0.5</v>
      </c>
      <c r="N221">
        <v>0.29849999999999999</v>
      </c>
      <c r="O221">
        <v>0</v>
      </c>
      <c r="P221">
        <v>31</v>
      </c>
      <c r="Q221">
        <v>31</v>
      </c>
    </row>
    <row r="222" spans="1:17" x14ac:dyDescent="0.3">
      <c r="A222">
        <v>221</v>
      </c>
      <c r="B222" s="4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>
        <v>0.16</v>
      </c>
      <c r="L222">
        <v>0.13639999999999999</v>
      </c>
      <c r="M222">
        <v>0.47</v>
      </c>
      <c r="N222">
        <v>0.28360000000000002</v>
      </c>
      <c r="O222">
        <v>2</v>
      </c>
      <c r="P222">
        <v>28</v>
      </c>
      <c r="Q222">
        <v>30</v>
      </c>
    </row>
    <row r="223" spans="1:17" x14ac:dyDescent="0.3">
      <c r="A223">
        <v>222</v>
      </c>
      <c r="B223" s="4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>
        <v>0.2</v>
      </c>
      <c r="L223">
        <v>0.18179999999999999</v>
      </c>
      <c r="M223">
        <v>0.4</v>
      </c>
      <c r="N223">
        <v>0.28360000000000002</v>
      </c>
      <c r="O223">
        <v>5</v>
      </c>
      <c r="P223">
        <v>47</v>
      </c>
      <c r="Q223">
        <v>52</v>
      </c>
    </row>
    <row r="224" spans="1:17" x14ac:dyDescent="0.3">
      <c r="A224">
        <v>223</v>
      </c>
      <c r="B224" s="4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>
        <v>0.2</v>
      </c>
      <c r="L224">
        <v>0.18179999999999999</v>
      </c>
      <c r="M224">
        <v>0.4</v>
      </c>
      <c r="N224">
        <v>0.28360000000000002</v>
      </c>
      <c r="O224">
        <v>4</v>
      </c>
      <c r="P224">
        <v>50</v>
      </c>
      <c r="Q224">
        <v>54</v>
      </c>
    </row>
    <row r="225" spans="1:17" x14ac:dyDescent="0.3">
      <c r="A225">
        <v>224</v>
      </c>
      <c r="B225" s="4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>
        <v>0.2</v>
      </c>
      <c r="L225">
        <v>0.19700000000000001</v>
      </c>
      <c r="M225">
        <v>0.4</v>
      </c>
      <c r="N225">
        <v>0.22389999999999999</v>
      </c>
      <c r="O225">
        <v>0</v>
      </c>
      <c r="P225">
        <v>47</v>
      </c>
      <c r="Q225">
        <v>47</v>
      </c>
    </row>
    <row r="226" spans="1:17" x14ac:dyDescent="0.3">
      <c r="A226">
        <v>225</v>
      </c>
      <c r="B226" s="4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>
        <v>0.2</v>
      </c>
      <c r="L226">
        <v>0.19700000000000001</v>
      </c>
      <c r="M226">
        <v>0.4</v>
      </c>
      <c r="N226">
        <v>0.22389999999999999</v>
      </c>
      <c r="O226">
        <v>2</v>
      </c>
      <c r="P226">
        <v>43</v>
      </c>
      <c r="Q226">
        <v>45</v>
      </c>
    </row>
    <row r="227" spans="1:17" x14ac:dyDescent="0.3">
      <c r="A227">
        <v>226</v>
      </c>
      <c r="B227" s="4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>
        <v>0.2</v>
      </c>
      <c r="L227">
        <v>0.21210000000000001</v>
      </c>
      <c r="M227">
        <v>0.4</v>
      </c>
      <c r="N227">
        <v>0.1343</v>
      </c>
      <c r="O227">
        <v>4</v>
      </c>
      <c r="P227">
        <v>70</v>
      </c>
      <c r="Q227">
        <v>74</v>
      </c>
    </row>
    <row r="228" spans="1:17" x14ac:dyDescent="0.3">
      <c r="A228">
        <v>227</v>
      </c>
      <c r="B228" s="4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>
        <v>0.2</v>
      </c>
      <c r="L228">
        <v>0.2273</v>
      </c>
      <c r="M228">
        <v>0.4</v>
      </c>
      <c r="N228">
        <v>0.1045</v>
      </c>
      <c r="O228">
        <v>4</v>
      </c>
      <c r="P228">
        <v>174</v>
      </c>
      <c r="Q228">
        <v>178</v>
      </c>
    </row>
    <row r="229" spans="1:17" x14ac:dyDescent="0.3">
      <c r="A229">
        <v>228</v>
      </c>
      <c r="B229" s="4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>
        <v>0.2</v>
      </c>
      <c r="L229">
        <v>0.19700000000000001</v>
      </c>
      <c r="M229">
        <v>0.4</v>
      </c>
      <c r="N229">
        <v>0.22389999999999999</v>
      </c>
      <c r="O229">
        <v>1</v>
      </c>
      <c r="P229">
        <v>154</v>
      </c>
      <c r="Q229">
        <v>155</v>
      </c>
    </row>
    <row r="230" spans="1:17" x14ac:dyDescent="0.3">
      <c r="A230">
        <v>229</v>
      </c>
      <c r="B230" s="4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>
        <v>0.16</v>
      </c>
      <c r="L230">
        <v>0.16669999999999999</v>
      </c>
      <c r="M230">
        <v>0.47</v>
      </c>
      <c r="N230">
        <v>0.16420000000000001</v>
      </c>
      <c r="O230">
        <v>3</v>
      </c>
      <c r="P230">
        <v>92</v>
      </c>
      <c r="Q230">
        <v>95</v>
      </c>
    </row>
    <row r="231" spans="1:17" x14ac:dyDescent="0.3">
      <c r="A231">
        <v>230</v>
      </c>
      <c r="B231" s="4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>
        <v>0.16</v>
      </c>
      <c r="L231">
        <v>0.16669999999999999</v>
      </c>
      <c r="M231">
        <v>0.5</v>
      </c>
      <c r="N231">
        <v>0.16420000000000001</v>
      </c>
      <c r="O231">
        <v>1</v>
      </c>
      <c r="P231">
        <v>73</v>
      </c>
      <c r="Q231">
        <v>74</v>
      </c>
    </row>
    <row r="232" spans="1:17" x14ac:dyDescent="0.3">
      <c r="A232">
        <v>231</v>
      </c>
      <c r="B232" s="4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>
        <v>0.14000000000000001</v>
      </c>
      <c r="L232">
        <v>0.13639999999999999</v>
      </c>
      <c r="M232">
        <v>0.59</v>
      </c>
      <c r="N232">
        <v>0.19400000000000001</v>
      </c>
      <c r="O232">
        <v>1</v>
      </c>
      <c r="P232">
        <v>37</v>
      </c>
      <c r="Q232">
        <v>38</v>
      </c>
    </row>
    <row r="233" spans="1:17" x14ac:dyDescent="0.3">
      <c r="A233">
        <v>232</v>
      </c>
      <c r="B233" s="4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>
        <v>0.14000000000000001</v>
      </c>
      <c r="L233">
        <v>0.1515</v>
      </c>
      <c r="M233">
        <v>0.59</v>
      </c>
      <c r="N233">
        <v>0.16420000000000001</v>
      </c>
      <c r="O233">
        <v>2</v>
      </c>
      <c r="P233">
        <v>22</v>
      </c>
      <c r="Q233">
        <v>24</v>
      </c>
    </row>
    <row r="234" spans="1:17" x14ac:dyDescent="0.3">
      <c r="A234">
        <v>233</v>
      </c>
      <c r="B234" s="4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>
        <v>0.14000000000000001</v>
      </c>
      <c r="L234">
        <v>0.1515</v>
      </c>
      <c r="M234">
        <v>0.59</v>
      </c>
      <c r="N234">
        <v>0.16420000000000001</v>
      </c>
      <c r="O234">
        <v>0</v>
      </c>
      <c r="P234">
        <v>18</v>
      </c>
      <c r="Q234">
        <v>18</v>
      </c>
    </row>
    <row r="235" spans="1:17" x14ac:dyDescent="0.3">
      <c r="A235">
        <v>234</v>
      </c>
      <c r="B235" s="4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0.14000000000000001</v>
      </c>
      <c r="L235">
        <v>0.16669999999999999</v>
      </c>
      <c r="M235">
        <v>0.59</v>
      </c>
      <c r="N235">
        <v>0.1045</v>
      </c>
      <c r="O235">
        <v>2</v>
      </c>
      <c r="P235">
        <v>10</v>
      </c>
      <c r="Q235">
        <v>12</v>
      </c>
    </row>
    <row r="236" spans="1:17" x14ac:dyDescent="0.3">
      <c r="A236">
        <v>235</v>
      </c>
      <c r="B236" s="4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>
        <v>0.14000000000000001</v>
      </c>
      <c r="L236">
        <v>0.1515</v>
      </c>
      <c r="M236">
        <v>0.59</v>
      </c>
      <c r="N236">
        <v>0.16420000000000001</v>
      </c>
      <c r="O236">
        <v>0</v>
      </c>
      <c r="P236">
        <v>3</v>
      </c>
      <c r="Q236">
        <v>3</v>
      </c>
    </row>
    <row r="237" spans="1:17" x14ac:dyDescent="0.3">
      <c r="A237">
        <v>236</v>
      </c>
      <c r="B237" s="4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>
        <v>0.16</v>
      </c>
      <c r="L237">
        <v>0.1515</v>
      </c>
      <c r="M237">
        <v>0.55000000000000004</v>
      </c>
      <c r="N237">
        <v>0.19400000000000001</v>
      </c>
      <c r="O237">
        <v>0</v>
      </c>
      <c r="P237">
        <v>3</v>
      </c>
      <c r="Q237">
        <v>3</v>
      </c>
    </row>
    <row r="238" spans="1:17" x14ac:dyDescent="0.3">
      <c r="A238">
        <v>237</v>
      </c>
      <c r="B238" s="4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>
        <v>0.16</v>
      </c>
      <c r="L238">
        <v>0.18179999999999999</v>
      </c>
      <c r="M238">
        <v>0.55000000000000004</v>
      </c>
      <c r="N238">
        <v>0.1343</v>
      </c>
      <c r="O238">
        <v>0</v>
      </c>
      <c r="P238">
        <v>6</v>
      </c>
      <c r="Q238">
        <v>6</v>
      </c>
    </row>
    <row r="239" spans="1:17" x14ac:dyDescent="0.3">
      <c r="A239">
        <v>238</v>
      </c>
      <c r="B239" s="4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>
        <v>0.16</v>
      </c>
      <c r="L239">
        <v>0.18179999999999999</v>
      </c>
      <c r="M239">
        <v>0.55000000000000004</v>
      </c>
      <c r="N239">
        <v>0.1343</v>
      </c>
      <c r="O239">
        <v>0</v>
      </c>
      <c r="P239">
        <v>27</v>
      </c>
      <c r="Q239">
        <v>27</v>
      </c>
    </row>
    <row r="240" spans="1:17" x14ac:dyDescent="0.3">
      <c r="A240">
        <v>239</v>
      </c>
      <c r="B240" s="4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>
        <v>0.16</v>
      </c>
      <c r="L240">
        <v>0.2273</v>
      </c>
      <c r="M240">
        <v>0.55000000000000004</v>
      </c>
      <c r="N240">
        <v>0</v>
      </c>
      <c r="O240">
        <v>2</v>
      </c>
      <c r="P240">
        <v>97</v>
      </c>
      <c r="Q240">
        <v>99</v>
      </c>
    </row>
    <row r="241" spans="1:17" x14ac:dyDescent="0.3">
      <c r="A241">
        <v>240</v>
      </c>
      <c r="B241" s="4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>
        <v>0.18</v>
      </c>
      <c r="L241">
        <v>0.21210000000000001</v>
      </c>
      <c r="M241">
        <v>0.51</v>
      </c>
      <c r="N241">
        <v>8.9599999999999999E-2</v>
      </c>
      <c r="O241">
        <v>3</v>
      </c>
      <c r="P241">
        <v>214</v>
      </c>
      <c r="Q241">
        <v>217</v>
      </c>
    </row>
    <row r="242" spans="1:17" x14ac:dyDescent="0.3">
      <c r="A242">
        <v>241</v>
      </c>
      <c r="B242" s="4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>
        <v>0.18</v>
      </c>
      <c r="L242">
        <v>0.19700000000000001</v>
      </c>
      <c r="M242">
        <v>0.51</v>
      </c>
      <c r="N242">
        <v>0.16420000000000001</v>
      </c>
      <c r="O242">
        <v>3</v>
      </c>
      <c r="P242">
        <v>127</v>
      </c>
      <c r="Q242">
        <v>130</v>
      </c>
    </row>
    <row r="243" spans="1:17" x14ac:dyDescent="0.3">
      <c r="A243">
        <v>242</v>
      </c>
      <c r="B243" s="4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>
        <v>0.2</v>
      </c>
      <c r="L243">
        <v>0.21210000000000001</v>
      </c>
      <c r="M243">
        <v>0.51</v>
      </c>
      <c r="N243">
        <v>0.16420000000000001</v>
      </c>
      <c r="O243">
        <v>3</v>
      </c>
      <c r="P243">
        <v>51</v>
      </c>
      <c r="Q243">
        <v>54</v>
      </c>
    </row>
    <row r="244" spans="1:17" x14ac:dyDescent="0.3">
      <c r="A244">
        <v>243</v>
      </c>
      <c r="B244" s="4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>
        <v>0.2</v>
      </c>
      <c r="L244">
        <v>0.21210000000000001</v>
      </c>
      <c r="M244">
        <v>0.47</v>
      </c>
      <c r="N244">
        <v>0.1343</v>
      </c>
      <c r="O244">
        <v>4</v>
      </c>
      <c r="P244">
        <v>31</v>
      </c>
      <c r="Q244">
        <v>35</v>
      </c>
    </row>
    <row r="245" spans="1:17" x14ac:dyDescent="0.3">
      <c r="A245">
        <v>244</v>
      </c>
      <c r="B245" s="4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>
        <v>0.2</v>
      </c>
      <c r="L245">
        <v>0.2273</v>
      </c>
      <c r="M245">
        <v>0.51</v>
      </c>
      <c r="N245">
        <v>0.1045</v>
      </c>
      <c r="O245">
        <v>2</v>
      </c>
      <c r="P245">
        <v>55</v>
      </c>
      <c r="Q245">
        <v>57</v>
      </c>
    </row>
    <row r="246" spans="1:17" x14ac:dyDescent="0.3">
      <c r="A246">
        <v>245</v>
      </c>
      <c r="B246" s="4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>
        <v>0.2</v>
      </c>
      <c r="L246">
        <v>0.2273</v>
      </c>
      <c r="M246">
        <v>0.59</v>
      </c>
      <c r="N246">
        <v>8.9599999999999999E-2</v>
      </c>
      <c r="O246">
        <v>6</v>
      </c>
      <c r="P246">
        <v>46</v>
      </c>
      <c r="Q246">
        <v>52</v>
      </c>
    </row>
    <row r="247" spans="1:17" x14ac:dyDescent="0.3">
      <c r="A247">
        <v>246</v>
      </c>
      <c r="B247" s="4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>
        <v>0.2</v>
      </c>
      <c r="L247">
        <v>0.2273</v>
      </c>
      <c r="M247">
        <v>0.59</v>
      </c>
      <c r="N247">
        <v>8.9599999999999999E-2</v>
      </c>
      <c r="O247">
        <v>3</v>
      </c>
      <c r="P247">
        <v>60</v>
      </c>
      <c r="Q247">
        <v>63</v>
      </c>
    </row>
    <row r="248" spans="1:17" x14ac:dyDescent="0.3">
      <c r="A248">
        <v>247</v>
      </c>
      <c r="B248" s="4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>
        <v>0.16</v>
      </c>
      <c r="L248">
        <v>0.19700000000000001</v>
      </c>
      <c r="M248">
        <v>0.8</v>
      </c>
      <c r="N248">
        <v>8.9599999999999999E-2</v>
      </c>
      <c r="O248">
        <v>2</v>
      </c>
      <c r="P248">
        <v>45</v>
      </c>
      <c r="Q248">
        <v>47</v>
      </c>
    </row>
    <row r="249" spans="1:17" x14ac:dyDescent="0.3">
      <c r="A249">
        <v>248</v>
      </c>
      <c r="B249" s="4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>
        <v>0.16</v>
      </c>
      <c r="L249">
        <v>0.1515</v>
      </c>
      <c r="M249">
        <v>0.86</v>
      </c>
      <c r="N249">
        <v>0.22389999999999999</v>
      </c>
      <c r="O249">
        <v>4</v>
      </c>
      <c r="P249">
        <v>72</v>
      </c>
      <c r="Q249">
        <v>76</v>
      </c>
    </row>
    <row r="250" spans="1:17" x14ac:dyDescent="0.3">
      <c r="A250">
        <v>249</v>
      </c>
      <c r="B250" s="4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>
        <v>0.16</v>
      </c>
      <c r="L250">
        <v>0.1515</v>
      </c>
      <c r="M250">
        <v>0.86</v>
      </c>
      <c r="N250">
        <v>0.22389999999999999</v>
      </c>
      <c r="O250">
        <v>6</v>
      </c>
      <c r="P250">
        <v>130</v>
      </c>
      <c r="Q250">
        <v>136</v>
      </c>
    </row>
    <row r="251" spans="1:17" x14ac:dyDescent="0.3">
      <c r="A251">
        <v>250</v>
      </c>
      <c r="B251" s="4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>
        <v>0.16</v>
      </c>
      <c r="L251">
        <v>0.18179999999999999</v>
      </c>
      <c r="M251">
        <v>0.93</v>
      </c>
      <c r="N251">
        <v>0.1045</v>
      </c>
      <c r="O251">
        <v>1</v>
      </c>
      <c r="P251">
        <v>94</v>
      </c>
      <c r="Q251">
        <v>95</v>
      </c>
    </row>
    <row r="252" spans="1:17" x14ac:dyDescent="0.3">
      <c r="A252">
        <v>251</v>
      </c>
      <c r="B252" s="4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>
        <v>0.16</v>
      </c>
      <c r="L252">
        <v>0.2273</v>
      </c>
      <c r="M252">
        <v>0.93</v>
      </c>
      <c r="N252">
        <v>0</v>
      </c>
      <c r="O252">
        <v>0</v>
      </c>
      <c r="P252">
        <v>51</v>
      </c>
      <c r="Q252">
        <v>51</v>
      </c>
    </row>
    <row r="253" spans="1:17" x14ac:dyDescent="0.3">
      <c r="A253">
        <v>252</v>
      </c>
      <c r="B253" s="4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>
        <v>0.16</v>
      </c>
      <c r="L253">
        <v>0.1515</v>
      </c>
      <c r="M253">
        <v>0.93</v>
      </c>
      <c r="N253">
        <v>0.19400000000000001</v>
      </c>
      <c r="O253">
        <v>0</v>
      </c>
      <c r="P253">
        <v>32</v>
      </c>
      <c r="Q253">
        <v>32</v>
      </c>
    </row>
    <row r="254" spans="1:17" x14ac:dyDescent="0.3">
      <c r="A254">
        <v>253</v>
      </c>
      <c r="B254" s="4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>
        <v>0.16</v>
      </c>
      <c r="L254">
        <v>0.19700000000000001</v>
      </c>
      <c r="M254">
        <v>0.86</v>
      </c>
      <c r="N254">
        <v>8.9599999999999999E-2</v>
      </c>
      <c r="O254">
        <v>0</v>
      </c>
      <c r="P254">
        <v>20</v>
      </c>
      <c r="Q254">
        <v>20</v>
      </c>
    </row>
    <row r="255" spans="1:17" x14ac:dyDescent="0.3">
      <c r="A255">
        <v>254</v>
      </c>
      <c r="B255" s="4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>
        <v>0.16</v>
      </c>
      <c r="L255">
        <v>0.18179999999999999</v>
      </c>
      <c r="M255">
        <v>0.93</v>
      </c>
      <c r="N255">
        <v>0.1045</v>
      </c>
      <c r="O255">
        <v>1</v>
      </c>
      <c r="P255">
        <v>28</v>
      </c>
      <c r="Q255">
        <v>29</v>
      </c>
    </row>
    <row r="256" spans="1:17" x14ac:dyDescent="0.3">
      <c r="A256">
        <v>255</v>
      </c>
      <c r="B256" s="4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>
        <v>0.16</v>
      </c>
      <c r="L256">
        <v>0.19700000000000001</v>
      </c>
      <c r="M256">
        <v>0.93</v>
      </c>
      <c r="N256">
        <v>8.9599999999999999E-2</v>
      </c>
      <c r="O256">
        <v>1</v>
      </c>
      <c r="P256">
        <v>18</v>
      </c>
      <c r="Q256">
        <v>19</v>
      </c>
    </row>
    <row r="257" spans="1:17" x14ac:dyDescent="0.3">
      <c r="A257">
        <v>256</v>
      </c>
      <c r="B257" s="4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>
        <v>0.16</v>
      </c>
      <c r="L257">
        <v>0.19700000000000001</v>
      </c>
      <c r="M257">
        <v>0.86</v>
      </c>
      <c r="N257">
        <v>8.9599999999999999E-2</v>
      </c>
      <c r="O257">
        <v>0</v>
      </c>
      <c r="P257">
        <v>7</v>
      </c>
      <c r="Q257">
        <v>7</v>
      </c>
    </row>
    <row r="258" spans="1:17" x14ac:dyDescent="0.3">
      <c r="A258">
        <v>257</v>
      </c>
      <c r="B258" s="4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>
        <v>0.16</v>
      </c>
      <c r="L258">
        <v>0.18179999999999999</v>
      </c>
      <c r="M258">
        <v>0.86</v>
      </c>
      <c r="N258">
        <v>0.1045</v>
      </c>
      <c r="O258">
        <v>0</v>
      </c>
      <c r="P258">
        <v>6</v>
      </c>
      <c r="Q258">
        <v>6</v>
      </c>
    </row>
    <row r="259" spans="1:17" x14ac:dyDescent="0.3">
      <c r="A259">
        <v>258</v>
      </c>
      <c r="B259" s="4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>
        <v>0.14000000000000001</v>
      </c>
      <c r="L259">
        <v>0.1515</v>
      </c>
      <c r="M259">
        <v>0.86</v>
      </c>
      <c r="N259">
        <v>0.1343</v>
      </c>
      <c r="O259">
        <v>0</v>
      </c>
      <c r="P259">
        <v>1</v>
      </c>
      <c r="Q259">
        <v>1</v>
      </c>
    </row>
    <row r="260" spans="1:17" x14ac:dyDescent="0.3">
      <c r="A260">
        <v>259</v>
      </c>
      <c r="B260" s="4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>
        <v>0.14000000000000001</v>
      </c>
      <c r="L260">
        <v>0.1515</v>
      </c>
      <c r="M260">
        <v>0.86</v>
      </c>
      <c r="N260">
        <v>0.16420000000000001</v>
      </c>
      <c r="O260">
        <v>0</v>
      </c>
      <c r="P260">
        <v>5</v>
      </c>
      <c r="Q260">
        <v>5</v>
      </c>
    </row>
    <row r="261" spans="1:17" x14ac:dyDescent="0.3">
      <c r="A261">
        <v>260</v>
      </c>
      <c r="B261" s="4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>
        <v>0.12</v>
      </c>
      <c r="L261">
        <v>0.1515</v>
      </c>
      <c r="M261">
        <v>0.93</v>
      </c>
      <c r="N261">
        <v>0.1343</v>
      </c>
      <c r="O261">
        <v>0</v>
      </c>
      <c r="P261">
        <v>16</v>
      </c>
      <c r="Q261">
        <v>16</v>
      </c>
    </row>
    <row r="262" spans="1:17" x14ac:dyDescent="0.3">
      <c r="A262">
        <v>261</v>
      </c>
      <c r="B262" s="4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>
        <v>0.14000000000000001</v>
      </c>
      <c r="L262">
        <v>0.1515</v>
      </c>
      <c r="M262">
        <v>0.69</v>
      </c>
      <c r="N262">
        <v>0.1343</v>
      </c>
      <c r="O262">
        <v>0</v>
      </c>
      <c r="P262">
        <v>54</v>
      </c>
      <c r="Q262">
        <v>54</v>
      </c>
    </row>
    <row r="263" spans="1:17" x14ac:dyDescent="0.3">
      <c r="A263">
        <v>262</v>
      </c>
      <c r="B263" s="4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>
        <v>0.16</v>
      </c>
      <c r="L263">
        <v>0.16669999999999999</v>
      </c>
      <c r="M263">
        <v>0.59</v>
      </c>
      <c r="N263">
        <v>0.16420000000000001</v>
      </c>
      <c r="O263">
        <v>3</v>
      </c>
      <c r="P263">
        <v>125</v>
      </c>
      <c r="Q263">
        <v>128</v>
      </c>
    </row>
    <row r="264" spans="1:17" x14ac:dyDescent="0.3">
      <c r="A264">
        <v>263</v>
      </c>
      <c r="B264" s="4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>
        <v>0.16</v>
      </c>
      <c r="L264">
        <v>0.13639999999999999</v>
      </c>
      <c r="M264">
        <v>0.59</v>
      </c>
      <c r="N264">
        <v>0.32840000000000003</v>
      </c>
      <c r="O264">
        <v>3</v>
      </c>
      <c r="P264">
        <v>78</v>
      </c>
      <c r="Q264">
        <v>81</v>
      </c>
    </row>
    <row r="265" spans="1:17" x14ac:dyDescent="0.3">
      <c r="A265">
        <v>264</v>
      </c>
      <c r="B265" s="4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>
        <v>0.18</v>
      </c>
      <c r="L265">
        <v>0.18179999999999999</v>
      </c>
      <c r="M265">
        <v>0.55000000000000004</v>
      </c>
      <c r="N265">
        <v>0.22389999999999999</v>
      </c>
      <c r="O265">
        <v>0</v>
      </c>
      <c r="P265">
        <v>39</v>
      </c>
      <c r="Q265">
        <v>39</v>
      </c>
    </row>
    <row r="266" spans="1:17" x14ac:dyDescent="0.3">
      <c r="A266">
        <v>265</v>
      </c>
      <c r="B266" s="4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>
        <v>0.2</v>
      </c>
      <c r="L266">
        <v>0.18179999999999999</v>
      </c>
      <c r="M266">
        <v>0.51</v>
      </c>
      <c r="N266">
        <v>0.3881</v>
      </c>
      <c r="O266">
        <v>3</v>
      </c>
      <c r="P266">
        <v>32</v>
      </c>
      <c r="Q266">
        <v>35</v>
      </c>
    </row>
    <row r="267" spans="1:17" x14ac:dyDescent="0.3">
      <c r="A267">
        <v>266</v>
      </c>
      <c r="B267" s="4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>
        <v>0.2</v>
      </c>
      <c r="L267">
        <v>0.1515</v>
      </c>
      <c r="M267">
        <v>0.47</v>
      </c>
      <c r="N267">
        <v>0.58209999999999995</v>
      </c>
      <c r="O267">
        <v>3</v>
      </c>
      <c r="P267">
        <v>52</v>
      </c>
      <c r="Q267">
        <v>55</v>
      </c>
    </row>
    <row r="268" spans="1:17" x14ac:dyDescent="0.3">
      <c r="A268">
        <v>267</v>
      </c>
      <c r="B268" s="4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>
        <v>0.22</v>
      </c>
      <c r="L268">
        <v>0.19700000000000001</v>
      </c>
      <c r="M268">
        <v>0.44</v>
      </c>
      <c r="N268">
        <v>0.35820000000000002</v>
      </c>
      <c r="O268">
        <v>0</v>
      </c>
      <c r="P268">
        <v>49</v>
      </c>
      <c r="Q268">
        <v>49</v>
      </c>
    </row>
    <row r="269" spans="1:17" x14ac:dyDescent="0.3">
      <c r="A269">
        <v>268</v>
      </c>
      <c r="B269" s="4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>
        <v>0.2</v>
      </c>
      <c r="L269">
        <v>0.18179999999999999</v>
      </c>
      <c r="M269">
        <v>0.47</v>
      </c>
      <c r="N269">
        <v>0.32840000000000003</v>
      </c>
      <c r="O269">
        <v>0</v>
      </c>
      <c r="P269">
        <v>44</v>
      </c>
      <c r="Q269">
        <v>44</v>
      </c>
    </row>
    <row r="270" spans="1:17" x14ac:dyDescent="0.3">
      <c r="A270">
        <v>269</v>
      </c>
      <c r="B270" s="4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>
        <v>0.2</v>
      </c>
      <c r="L270">
        <v>0.16669999999999999</v>
      </c>
      <c r="M270">
        <v>0.47</v>
      </c>
      <c r="N270">
        <v>0.41789999999999999</v>
      </c>
      <c r="O270">
        <v>1</v>
      </c>
      <c r="P270">
        <v>48</v>
      </c>
      <c r="Q270">
        <v>49</v>
      </c>
    </row>
    <row r="271" spans="1:17" x14ac:dyDescent="0.3">
      <c r="A271">
        <v>270</v>
      </c>
      <c r="B271" s="4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>
        <v>0.22</v>
      </c>
      <c r="L271">
        <v>0.19700000000000001</v>
      </c>
      <c r="M271">
        <v>0.44</v>
      </c>
      <c r="N271">
        <v>0.32840000000000003</v>
      </c>
      <c r="O271">
        <v>5</v>
      </c>
      <c r="P271">
        <v>63</v>
      </c>
      <c r="Q271">
        <v>68</v>
      </c>
    </row>
    <row r="272" spans="1:17" x14ac:dyDescent="0.3">
      <c r="A272">
        <v>271</v>
      </c>
      <c r="B272" s="4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>
        <v>0.2</v>
      </c>
      <c r="L272">
        <v>0.18179999999999999</v>
      </c>
      <c r="M272">
        <v>0.47</v>
      </c>
      <c r="N272">
        <v>0.35820000000000002</v>
      </c>
      <c r="O272">
        <v>0</v>
      </c>
      <c r="P272">
        <v>139</v>
      </c>
      <c r="Q272">
        <v>139</v>
      </c>
    </row>
    <row r="273" spans="1:17" x14ac:dyDescent="0.3">
      <c r="A273">
        <v>272</v>
      </c>
      <c r="B273" s="4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>
        <v>0.2</v>
      </c>
      <c r="L273">
        <v>0.1515</v>
      </c>
      <c r="M273">
        <v>0.47</v>
      </c>
      <c r="N273">
        <v>0.52239999999999998</v>
      </c>
      <c r="O273">
        <v>2</v>
      </c>
      <c r="P273">
        <v>135</v>
      </c>
      <c r="Q273">
        <v>137</v>
      </c>
    </row>
    <row r="274" spans="1:17" x14ac:dyDescent="0.3">
      <c r="A274">
        <v>273</v>
      </c>
      <c r="B274" s="4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>
        <v>0.18</v>
      </c>
      <c r="L274">
        <v>0.1515</v>
      </c>
      <c r="M274">
        <v>0.47</v>
      </c>
      <c r="N274">
        <v>0.41789999999999999</v>
      </c>
      <c r="O274">
        <v>1</v>
      </c>
      <c r="P274">
        <v>82</v>
      </c>
      <c r="Q274">
        <v>83</v>
      </c>
    </row>
    <row r="275" spans="1:17" x14ac:dyDescent="0.3">
      <c r="A275">
        <v>274</v>
      </c>
      <c r="B275" s="4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>
        <v>0.16</v>
      </c>
      <c r="L275">
        <v>0.13639999999999999</v>
      </c>
      <c r="M275">
        <v>0.5</v>
      </c>
      <c r="N275">
        <v>0.32840000000000003</v>
      </c>
      <c r="O275">
        <v>2</v>
      </c>
      <c r="P275">
        <v>54</v>
      </c>
      <c r="Q275">
        <v>56</v>
      </c>
    </row>
    <row r="276" spans="1:17" x14ac:dyDescent="0.3">
      <c r="A276">
        <v>275</v>
      </c>
      <c r="B276" s="4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>
        <v>0.16</v>
      </c>
      <c r="L276">
        <v>0.13639999999999999</v>
      </c>
      <c r="M276">
        <v>0.55000000000000004</v>
      </c>
      <c r="N276">
        <v>0.32840000000000003</v>
      </c>
      <c r="O276">
        <v>0</v>
      </c>
      <c r="P276">
        <v>57</v>
      </c>
      <c r="Q276">
        <v>57</v>
      </c>
    </row>
    <row r="277" spans="1:17" x14ac:dyDescent="0.3">
      <c r="A277">
        <v>276</v>
      </c>
      <c r="B277" s="4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>
        <v>0.16</v>
      </c>
      <c r="L277">
        <v>0.1212</v>
      </c>
      <c r="M277">
        <v>0.55000000000000004</v>
      </c>
      <c r="N277">
        <v>0.44779999999999998</v>
      </c>
      <c r="O277">
        <v>1</v>
      </c>
      <c r="P277">
        <v>32</v>
      </c>
      <c r="Q277">
        <v>33</v>
      </c>
    </row>
    <row r="278" spans="1:17" x14ac:dyDescent="0.3">
      <c r="A278">
        <v>277</v>
      </c>
      <c r="B278" s="4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>
        <v>0.14000000000000001</v>
      </c>
      <c r="L278">
        <v>0.1061</v>
      </c>
      <c r="M278">
        <v>0.59</v>
      </c>
      <c r="N278">
        <v>0.41789999999999999</v>
      </c>
      <c r="O278">
        <v>1</v>
      </c>
      <c r="P278">
        <v>19</v>
      </c>
      <c r="Q278">
        <v>20</v>
      </c>
    </row>
    <row r="279" spans="1:17" x14ac:dyDescent="0.3">
      <c r="A279">
        <v>278</v>
      </c>
      <c r="B279" s="4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0.14000000000000001</v>
      </c>
      <c r="L279">
        <v>0.1212</v>
      </c>
      <c r="M279">
        <v>0.59</v>
      </c>
      <c r="N279">
        <v>0.28360000000000002</v>
      </c>
      <c r="O279">
        <v>1</v>
      </c>
      <c r="P279">
        <v>6</v>
      </c>
      <c r="Q279">
        <v>7</v>
      </c>
    </row>
    <row r="280" spans="1:17" x14ac:dyDescent="0.3">
      <c r="A280">
        <v>279</v>
      </c>
      <c r="B280" s="4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>
        <v>0.14000000000000001</v>
      </c>
      <c r="L280">
        <v>0.1212</v>
      </c>
      <c r="M280">
        <v>0.5</v>
      </c>
      <c r="N280">
        <v>0.28360000000000002</v>
      </c>
      <c r="O280">
        <v>0</v>
      </c>
      <c r="P280">
        <v>2</v>
      </c>
      <c r="Q280">
        <v>2</v>
      </c>
    </row>
    <row r="281" spans="1:17" x14ac:dyDescent="0.3">
      <c r="A281">
        <v>280</v>
      </c>
      <c r="B281" s="4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>
        <v>0.14000000000000001</v>
      </c>
      <c r="L281">
        <v>0.1212</v>
      </c>
      <c r="M281">
        <v>0.5</v>
      </c>
      <c r="N281">
        <v>0.35820000000000002</v>
      </c>
      <c r="O281">
        <v>0</v>
      </c>
      <c r="P281">
        <v>2</v>
      </c>
      <c r="Q281">
        <v>2</v>
      </c>
    </row>
    <row r="282" spans="1:17" x14ac:dyDescent="0.3">
      <c r="A282">
        <v>281</v>
      </c>
      <c r="B282" s="4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>
        <v>0.14000000000000001</v>
      </c>
      <c r="L282">
        <v>0.1212</v>
      </c>
      <c r="M282">
        <v>0.5</v>
      </c>
      <c r="N282">
        <v>0.32840000000000003</v>
      </c>
      <c r="O282">
        <v>0</v>
      </c>
      <c r="P282">
        <v>3</v>
      </c>
      <c r="Q282">
        <v>3</v>
      </c>
    </row>
    <row r="283" spans="1:17" x14ac:dyDescent="0.3">
      <c r="A283">
        <v>282</v>
      </c>
      <c r="B283" s="4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>
        <v>0.14000000000000001</v>
      </c>
      <c r="L283">
        <v>0.1212</v>
      </c>
      <c r="M283">
        <v>0.5</v>
      </c>
      <c r="N283">
        <v>0.25369999999999998</v>
      </c>
      <c r="O283">
        <v>0</v>
      </c>
      <c r="P283">
        <v>4</v>
      </c>
      <c r="Q283">
        <v>4</v>
      </c>
    </row>
    <row r="284" spans="1:17" x14ac:dyDescent="0.3">
      <c r="A284">
        <v>283</v>
      </c>
      <c r="B284" s="4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>
        <v>0.14000000000000001</v>
      </c>
      <c r="L284">
        <v>0.1212</v>
      </c>
      <c r="M284">
        <v>0.5</v>
      </c>
      <c r="N284">
        <v>0.29849999999999999</v>
      </c>
      <c r="O284">
        <v>0</v>
      </c>
      <c r="P284">
        <v>3</v>
      </c>
      <c r="Q284">
        <v>3</v>
      </c>
    </row>
    <row r="285" spans="1:17" x14ac:dyDescent="0.3">
      <c r="A285">
        <v>284</v>
      </c>
      <c r="B285" s="4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>
        <v>0.12</v>
      </c>
      <c r="L285">
        <v>0.1515</v>
      </c>
      <c r="M285">
        <v>0.54</v>
      </c>
      <c r="N285">
        <v>0.1343</v>
      </c>
      <c r="O285">
        <v>0</v>
      </c>
      <c r="P285">
        <v>28</v>
      </c>
      <c r="Q285">
        <v>28</v>
      </c>
    </row>
    <row r="286" spans="1:17" x14ac:dyDescent="0.3">
      <c r="A286">
        <v>285</v>
      </c>
      <c r="B286" s="4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>
        <v>0.12</v>
      </c>
      <c r="L286">
        <v>0.1515</v>
      </c>
      <c r="M286">
        <v>0.54</v>
      </c>
      <c r="N286">
        <v>0.1343</v>
      </c>
      <c r="O286">
        <v>0</v>
      </c>
      <c r="P286">
        <v>72</v>
      </c>
      <c r="Q286">
        <v>72</v>
      </c>
    </row>
    <row r="287" spans="1:17" x14ac:dyDescent="0.3">
      <c r="A287">
        <v>286</v>
      </c>
      <c r="B287" s="4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>
        <v>0.14000000000000001</v>
      </c>
      <c r="L287">
        <v>0.13639999999999999</v>
      </c>
      <c r="M287">
        <v>0.5</v>
      </c>
      <c r="N287">
        <v>0.19400000000000001</v>
      </c>
      <c r="O287">
        <v>5</v>
      </c>
      <c r="P287">
        <v>197</v>
      </c>
      <c r="Q287">
        <v>202</v>
      </c>
    </row>
    <row r="288" spans="1:17" x14ac:dyDescent="0.3">
      <c r="A288">
        <v>287</v>
      </c>
      <c r="B288" s="4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>
        <v>0.14000000000000001</v>
      </c>
      <c r="L288">
        <v>0.1212</v>
      </c>
      <c r="M288">
        <v>0.5</v>
      </c>
      <c r="N288">
        <v>0.32840000000000003</v>
      </c>
      <c r="O288">
        <v>2</v>
      </c>
      <c r="P288">
        <v>137</v>
      </c>
      <c r="Q288">
        <v>139</v>
      </c>
    </row>
    <row r="289" spans="1:17" x14ac:dyDescent="0.3">
      <c r="A289">
        <v>288</v>
      </c>
      <c r="B289" s="4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>
        <v>0.16</v>
      </c>
      <c r="L289">
        <v>0.13639999999999999</v>
      </c>
      <c r="M289">
        <v>0.5</v>
      </c>
      <c r="N289">
        <v>0.35820000000000002</v>
      </c>
      <c r="O289">
        <v>2</v>
      </c>
      <c r="P289">
        <v>36</v>
      </c>
      <c r="Q289">
        <v>38</v>
      </c>
    </row>
    <row r="290" spans="1:17" x14ac:dyDescent="0.3">
      <c r="A290">
        <v>289</v>
      </c>
      <c r="B290" s="4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>
        <v>0.2</v>
      </c>
      <c r="L290">
        <v>0.16669999999999999</v>
      </c>
      <c r="M290">
        <v>0.44</v>
      </c>
      <c r="N290">
        <v>0.44779999999999998</v>
      </c>
      <c r="O290">
        <v>4</v>
      </c>
      <c r="P290">
        <v>33</v>
      </c>
      <c r="Q290">
        <v>37</v>
      </c>
    </row>
    <row r="291" spans="1:17" x14ac:dyDescent="0.3">
      <c r="A291">
        <v>290</v>
      </c>
      <c r="B291" s="4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>
        <v>0.2</v>
      </c>
      <c r="L291">
        <v>0.16669999999999999</v>
      </c>
      <c r="M291">
        <v>0.44</v>
      </c>
      <c r="N291">
        <v>0.41789999999999999</v>
      </c>
      <c r="O291">
        <v>3</v>
      </c>
      <c r="P291">
        <v>49</v>
      </c>
      <c r="Q291">
        <v>52</v>
      </c>
    </row>
    <row r="292" spans="1:17" x14ac:dyDescent="0.3">
      <c r="A292">
        <v>291</v>
      </c>
      <c r="B292" s="4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>
        <v>0.22</v>
      </c>
      <c r="L292">
        <v>0.19700000000000001</v>
      </c>
      <c r="M292">
        <v>0.41</v>
      </c>
      <c r="N292">
        <v>0.44779999999999998</v>
      </c>
      <c r="O292">
        <v>2</v>
      </c>
      <c r="P292">
        <v>81</v>
      </c>
      <c r="Q292">
        <v>83</v>
      </c>
    </row>
    <row r="293" spans="1:17" x14ac:dyDescent="0.3">
      <c r="A293">
        <v>292</v>
      </c>
      <c r="B293" s="4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>
        <v>0.22</v>
      </c>
      <c r="L293">
        <v>0.19700000000000001</v>
      </c>
      <c r="M293">
        <v>0.41</v>
      </c>
      <c r="N293">
        <v>0.3881</v>
      </c>
      <c r="O293">
        <v>3</v>
      </c>
      <c r="P293">
        <v>39</v>
      </c>
      <c r="Q293">
        <v>42</v>
      </c>
    </row>
    <row r="294" spans="1:17" x14ac:dyDescent="0.3">
      <c r="A294">
        <v>293</v>
      </c>
      <c r="B294" s="4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>
        <v>0.24</v>
      </c>
      <c r="L294">
        <v>0.21210000000000001</v>
      </c>
      <c r="M294">
        <v>0.38</v>
      </c>
      <c r="N294">
        <v>0.29849999999999999</v>
      </c>
      <c r="O294">
        <v>5</v>
      </c>
      <c r="P294">
        <v>55</v>
      </c>
      <c r="Q294">
        <v>60</v>
      </c>
    </row>
    <row r="295" spans="1:17" x14ac:dyDescent="0.3">
      <c r="A295">
        <v>294</v>
      </c>
      <c r="B295" s="4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>
        <v>0.24</v>
      </c>
      <c r="L295">
        <v>0.21210000000000001</v>
      </c>
      <c r="M295">
        <v>0.38</v>
      </c>
      <c r="N295">
        <v>0.35820000000000002</v>
      </c>
      <c r="O295">
        <v>2</v>
      </c>
      <c r="P295">
        <v>76</v>
      </c>
      <c r="Q295">
        <v>78</v>
      </c>
    </row>
    <row r="296" spans="1:17" x14ac:dyDescent="0.3">
      <c r="A296">
        <v>295</v>
      </c>
      <c r="B296" s="4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>
        <v>0.2</v>
      </c>
      <c r="L296">
        <v>0.18179999999999999</v>
      </c>
      <c r="M296">
        <v>0.4</v>
      </c>
      <c r="N296">
        <v>0.28360000000000002</v>
      </c>
      <c r="O296">
        <v>4</v>
      </c>
      <c r="P296">
        <v>158</v>
      </c>
      <c r="Q296">
        <v>162</v>
      </c>
    </row>
    <row r="297" spans="1:17" x14ac:dyDescent="0.3">
      <c r="A297">
        <v>296</v>
      </c>
      <c r="B297" s="4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>
        <v>0.2</v>
      </c>
      <c r="L297">
        <v>0.18179999999999999</v>
      </c>
      <c r="M297">
        <v>0.4</v>
      </c>
      <c r="N297">
        <v>0.32840000000000003</v>
      </c>
      <c r="O297">
        <v>3</v>
      </c>
      <c r="P297">
        <v>141</v>
      </c>
      <c r="Q297">
        <v>144</v>
      </c>
    </row>
    <row r="298" spans="1:17" x14ac:dyDescent="0.3">
      <c r="A298">
        <v>297</v>
      </c>
      <c r="B298" s="4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>
        <v>0.16</v>
      </c>
      <c r="L298">
        <v>0.1515</v>
      </c>
      <c r="M298">
        <v>0.47</v>
      </c>
      <c r="N298">
        <v>0.25369999999999998</v>
      </c>
      <c r="O298">
        <v>1</v>
      </c>
      <c r="P298">
        <v>98</v>
      </c>
      <c r="Q298">
        <v>99</v>
      </c>
    </row>
    <row r="299" spans="1:17" x14ac:dyDescent="0.3">
      <c r="A299">
        <v>298</v>
      </c>
      <c r="B299" s="4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>
        <v>0.16</v>
      </c>
      <c r="L299">
        <v>0.1515</v>
      </c>
      <c r="M299">
        <v>0.47</v>
      </c>
      <c r="N299">
        <v>0.22389999999999999</v>
      </c>
      <c r="O299">
        <v>0</v>
      </c>
      <c r="P299">
        <v>64</v>
      </c>
      <c r="Q299">
        <v>64</v>
      </c>
    </row>
    <row r="300" spans="1:17" x14ac:dyDescent="0.3">
      <c r="A300">
        <v>299</v>
      </c>
      <c r="B300" s="4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>
        <v>0.14000000000000001</v>
      </c>
      <c r="L300">
        <v>0.1212</v>
      </c>
      <c r="M300">
        <v>0.46</v>
      </c>
      <c r="N300">
        <v>0.29849999999999999</v>
      </c>
      <c r="O300">
        <v>0</v>
      </c>
      <c r="P300">
        <v>40</v>
      </c>
      <c r="Q300">
        <v>40</v>
      </c>
    </row>
    <row r="301" spans="1:17" x14ac:dyDescent="0.3">
      <c r="A301">
        <v>300</v>
      </c>
      <c r="B301" s="4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>
        <v>0.14000000000000001</v>
      </c>
      <c r="L301">
        <v>0.1212</v>
      </c>
      <c r="M301">
        <v>0.46</v>
      </c>
      <c r="N301">
        <v>0.32840000000000003</v>
      </c>
      <c r="O301">
        <v>0</v>
      </c>
      <c r="P301">
        <v>30</v>
      </c>
      <c r="Q301">
        <v>30</v>
      </c>
    </row>
    <row r="302" spans="1:17" x14ac:dyDescent="0.3">
      <c r="A302">
        <v>301</v>
      </c>
      <c r="B302" s="4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>
        <v>0.12</v>
      </c>
      <c r="L302">
        <v>0.13639999999999999</v>
      </c>
      <c r="M302">
        <v>0.5</v>
      </c>
      <c r="N302">
        <v>0.19400000000000001</v>
      </c>
      <c r="O302">
        <v>1</v>
      </c>
      <c r="P302">
        <v>14</v>
      </c>
      <c r="Q302">
        <v>15</v>
      </c>
    </row>
    <row r="303" spans="1:17" x14ac:dyDescent="0.3">
      <c r="A303">
        <v>302</v>
      </c>
      <c r="B303" s="4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>
        <v>0.12</v>
      </c>
      <c r="L303">
        <v>0.13639999999999999</v>
      </c>
      <c r="M303">
        <v>0.5</v>
      </c>
      <c r="N303">
        <v>0.19400000000000001</v>
      </c>
      <c r="O303">
        <v>0</v>
      </c>
      <c r="P303">
        <v>14</v>
      </c>
      <c r="Q303">
        <v>14</v>
      </c>
    </row>
    <row r="304" spans="1:17" x14ac:dyDescent="0.3">
      <c r="A304">
        <v>303</v>
      </c>
      <c r="B304" s="4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>
        <v>0.1</v>
      </c>
      <c r="L304">
        <v>0.1212</v>
      </c>
      <c r="M304">
        <v>0.54</v>
      </c>
      <c r="N304">
        <v>0.16420000000000001</v>
      </c>
      <c r="O304">
        <v>0</v>
      </c>
      <c r="P304">
        <v>5</v>
      </c>
      <c r="Q304">
        <v>5</v>
      </c>
    </row>
    <row r="305" spans="1:17" x14ac:dyDescent="0.3">
      <c r="A305">
        <v>304</v>
      </c>
      <c r="B305" s="4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>
        <v>0.1</v>
      </c>
      <c r="L305">
        <v>0.1212</v>
      </c>
      <c r="M305">
        <v>0.54</v>
      </c>
      <c r="N305">
        <v>0.1343</v>
      </c>
      <c r="O305">
        <v>0</v>
      </c>
      <c r="P305">
        <v>1</v>
      </c>
      <c r="Q305">
        <v>1</v>
      </c>
    </row>
    <row r="306" spans="1:17" x14ac:dyDescent="0.3">
      <c r="A306">
        <v>305</v>
      </c>
      <c r="B306" s="4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>
        <v>0.1</v>
      </c>
      <c r="L306">
        <v>0.13639999999999999</v>
      </c>
      <c r="M306">
        <v>0.54</v>
      </c>
      <c r="N306">
        <v>0.1045</v>
      </c>
      <c r="O306">
        <v>0</v>
      </c>
      <c r="P306">
        <v>1</v>
      </c>
      <c r="Q306">
        <v>1</v>
      </c>
    </row>
    <row r="307" spans="1:17" x14ac:dyDescent="0.3">
      <c r="A307">
        <v>306</v>
      </c>
      <c r="B307" s="4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>
        <v>0.1</v>
      </c>
      <c r="L307">
        <v>0.13639999999999999</v>
      </c>
      <c r="M307">
        <v>0.54</v>
      </c>
      <c r="N307">
        <v>8.9599999999999999E-2</v>
      </c>
      <c r="O307">
        <v>0</v>
      </c>
      <c r="P307">
        <v>8</v>
      </c>
      <c r="Q307">
        <v>8</v>
      </c>
    </row>
    <row r="308" spans="1:17" x14ac:dyDescent="0.3">
      <c r="A308">
        <v>307</v>
      </c>
      <c r="B308" s="4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>
        <v>0.1</v>
      </c>
      <c r="L308">
        <v>0.18179999999999999</v>
      </c>
      <c r="M308">
        <v>0.54</v>
      </c>
      <c r="N308">
        <v>0</v>
      </c>
      <c r="O308">
        <v>0</v>
      </c>
      <c r="P308">
        <v>17</v>
      </c>
      <c r="Q308">
        <v>17</v>
      </c>
    </row>
    <row r="309" spans="1:17" x14ac:dyDescent="0.3">
      <c r="A309">
        <v>308</v>
      </c>
      <c r="B309" s="4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>
        <v>0.1</v>
      </c>
      <c r="L309">
        <v>0.1212</v>
      </c>
      <c r="M309">
        <v>0.74</v>
      </c>
      <c r="N309">
        <v>0.16420000000000001</v>
      </c>
      <c r="O309">
        <v>0</v>
      </c>
      <c r="P309">
        <v>70</v>
      </c>
      <c r="Q309">
        <v>70</v>
      </c>
    </row>
    <row r="310" spans="1:17" x14ac:dyDescent="0.3">
      <c r="A310">
        <v>309</v>
      </c>
      <c r="B310" s="4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>
        <v>0.12</v>
      </c>
      <c r="L310">
        <v>0.16669999999999999</v>
      </c>
      <c r="M310">
        <v>0.68</v>
      </c>
      <c r="N310">
        <v>0</v>
      </c>
      <c r="O310">
        <v>2</v>
      </c>
      <c r="P310">
        <v>156</v>
      </c>
      <c r="Q310">
        <v>158</v>
      </c>
    </row>
    <row r="311" spans="1:17" x14ac:dyDescent="0.3">
      <c r="A311">
        <v>310</v>
      </c>
      <c r="B311" s="4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>
        <v>0.14000000000000001</v>
      </c>
      <c r="L311">
        <v>0.1515</v>
      </c>
      <c r="M311">
        <v>0.69</v>
      </c>
      <c r="N311">
        <v>0.1343</v>
      </c>
      <c r="O311">
        <v>0</v>
      </c>
      <c r="P311">
        <v>117</v>
      </c>
      <c r="Q311">
        <v>117</v>
      </c>
    </row>
    <row r="312" spans="1:17" x14ac:dyDescent="0.3">
      <c r="A312">
        <v>311</v>
      </c>
      <c r="B312" s="4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>
        <v>0.18</v>
      </c>
      <c r="L312">
        <v>0.18179999999999999</v>
      </c>
      <c r="M312">
        <v>0.55000000000000004</v>
      </c>
      <c r="N312">
        <v>0.19400000000000001</v>
      </c>
      <c r="O312">
        <v>4</v>
      </c>
      <c r="P312">
        <v>40</v>
      </c>
      <c r="Q312">
        <v>44</v>
      </c>
    </row>
    <row r="313" spans="1:17" x14ac:dyDescent="0.3">
      <c r="A313">
        <v>312</v>
      </c>
      <c r="B313" s="4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>
        <v>0.18</v>
      </c>
      <c r="L313">
        <v>0.16669999999999999</v>
      </c>
      <c r="M313">
        <v>0.51</v>
      </c>
      <c r="N313">
        <v>0.28360000000000002</v>
      </c>
      <c r="O313">
        <v>6</v>
      </c>
      <c r="P313">
        <v>47</v>
      </c>
      <c r="Q313">
        <v>53</v>
      </c>
    </row>
    <row r="314" spans="1:17" x14ac:dyDescent="0.3">
      <c r="A314">
        <v>313</v>
      </c>
      <c r="B314" s="4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>
        <v>0.2</v>
      </c>
      <c r="L314">
        <v>0.19700000000000001</v>
      </c>
      <c r="M314">
        <v>0.44</v>
      </c>
      <c r="N314">
        <v>0.25369999999999998</v>
      </c>
      <c r="O314">
        <v>2</v>
      </c>
      <c r="P314">
        <v>59</v>
      </c>
      <c r="Q314">
        <v>61</v>
      </c>
    </row>
    <row r="315" spans="1:17" x14ac:dyDescent="0.3">
      <c r="A315">
        <v>314</v>
      </c>
      <c r="B315" s="4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>
        <v>0.22</v>
      </c>
      <c r="L315">
        <v>0.19700000000000001</v>
      </c>
      <c r="M315">
        <v>0.37</v>
      </c>
      <c r="N315">
        <v>0.3881</v>
      </c>
      <c r="O315">
        <v>4</v>
      </c>
      <c r="P315">
        <v>73</v>
      </c>
      <c r="Q315">
        <v>77</v>
      </c>
    </row>
    <row r="316" spans="1:17" x14ac:dyDescent="0.3">
      <c r="A316">
        <v>315</v>
      </c>
      <c r="B316" s="4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>
        <v>0.22</v>
      </c>
      <c r="L316">
        <v>0.21210000000000001</v>
      </c>
      <c r="M316">
        <v>0.41</v>
      </c>
      <c r="N316">
        <v>0.28360000000000002</v>
      </c>
      <c r="O316">
        <v>5</v>
      </c>
      <c r="P316">
        <v>59</v>
      </c>
      <c r="Q316">
        <v>64</v>
      </c>
    </row>
    <row r="317" spans="1:17" x14ac:dyDescent="0.3">
      <c r="A317">
        <v>316</v>
      </c>
      <c r="B317" s="4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>
        <v>0.24</v>
      </c>
      <c r="L317">
        <v>0.2424</v>
      </c>
      <c r="M317">
        <v>0.38</v>
      </c>
      <c r="N317">
        <v>0.16420000000000001</v>
      </c>
      <c r="O317">
        <v>9</v>
      </c>
      <c r="P317">
        <v>59</v>
      </c>
      <c r="Q317">
        <v>68</v>
      </c>
    </row>
    <row r="318" spans="1:17" x14ac:dyDescent="0.3">
      <c r="A318">
        <v>317</v>
      </c>
      <c r="B318" s="4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>
        <v>0.22</v>
      </c>
      <c r="L318">
        <v>0.2424</v>
      </c>
      <c r="M318">
        <v>0.41</v>
      </c>
      <c r="N318">
        <v>0.1045</v>
      </c>
      <c r="O318">
        <v>3</v>
      </c>
      <c r="P318">
        <v>87</v>
      </c>
      <c r="Q318">
        <v>90</v>
      </c>
    </row>
    <row r="319" spans="1:17" x14ac:dyDescent="0.3">
      <c r="A319">
        <v>318</v>
      </c>
      <c r="B319" s="4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>
        <v>0.22</v>
      </c>
      <c r="L319">
        <v>0.2273</v>
      </c>
      <c r="M319">
        <v>0.41</v>
      </c>
      <c r="N319">
        <v>0.16420000000000001</v>
      </c>
      <c r="O319">
        <v>4</v>
      </c>
      <c r="P319">
        <v>155</v>
      </c>
      <c r="Q319">
        <v>159</v>
      </c>
    </row>
    <row r="320" spans="1:17" x14ac:dyDescent="0.3">
      <c r="A320">
        <v>319</v>
      </c>
      <c r="B320" s="4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>
        <v>0.2</v>
      </c>
      <c r="L320">
        <v>0.2576</v>
      </c>
      <c r="M320">
        <v>0.47</v>
      </c>
      <c r="N320">
        <v>0</v>
      </c>
      <c r="O320">
        <v>5</v>
      </c>
      <c r="P320">
        <v>134</v>
      </c>
      <c r="Q320">
        <v>139</v>
      </c>
    </row>
    <row r="321" spans="1:17" x14ac:dyDescent="0.3">
      <c r="A321">
        <v>320</v>
      </c>
      <c r="B321" s="4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>
        <v>0.16</v>
      </c>
      <c r="L321">
        <v>0.19700000000000001</v>
      </c>
      <c r="M321">
        <v>0.59</v>
      </c>
      <c r="N321">
        <v>8.9599999999999999E-2</v>
      </c>
      <c r="O321">
        <v>3</v>
      </c>
      <c r="P321">
        <v>89</v>
      </c>
      <c r="Q321">
        <v>92</v>
      </c>
    </row>
    <row r="322" spans="1:17" x14ac:dyDescent="0.3">
      <c r="A322">
        <v>321</v>
      </c>
      <c r="B322" s="4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>
        <v>0.18</v>
      </c>
      <c r="L322">
        <v>0.2424</v>
      </c>
      <c r="M322">
        <v>0.59</v>
      </c>
      <c r="N322">
        <v>0</v>
      </c>
      <c r="O322">
        <v>0</v>
      </c>
      <c r="P322">
        <v>68</v>
      </c>
      <c r="Q322">
        <v>68</v>
      </c>
    </row>
    <row r="323" spans="1:17" x14ac:dyDescent="0.3">
      <c r="A323">
        <v>322</v>
      </c>
      <c r="B323" s="4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>
        <v>0.16</v>
      </c>
      <c r="L323">
        <v>0.2273</v>
      </c>
      <c r="M323">
        <v>0.69</v>
      </c>
      <c r="N323">
        <v>0</v>
      </c>
      <c r="O323">
        <v>4</v>
      </c>
      <c r="P323">
        <v>48</v>
      </c>
      <c r="Q323">
        <v>52</v>
      </c>
    </row>
    <row r="324" spans="1:17" x14ac:dyDescent="0.3">
      <c r="A324">
        <v>323</v>
      </c>
      <c r="B324" s="4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>
        <v>0.16</v>
      </c>
      <c r="L324">
        <v>0.2273</v>
      </c>
      <c r="M324">
        <v>0.69</v>
      </c>
      <c r="N324">
        <v>0</v>
      </c>
      <c r="O324">
        <v>2</v>
      </c>
      <c r="P324">
        <v>34</v>
      </c>
      <c r="Q324">
        <v>36</v>
      </c>
    </row>
    <row r="325" spans="1:17" x14ac:dyDescent="0.3">
      <c r="A325">
        <v>324</v>
      </c>
      <c r="B325" s="4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>
        <v>0.18</v>
      </c>
      <c r="L325">
        <v>0.2424</v>
      </c>
      <c r="M325">
        <v>0.55000000000000004</v>
      </c>
      <c r="N325">
        <v>0</v>
      </c>
      <c r="O325">
        <v>1</v>
      </c>
      <c r="P325">
        <v>26</v>
      </c>
      <c r="Q325">
        <v>27</v>
      </c>
    </row>
    <row r="326" spans="1:17" x14ac:dyDescent="0.3">
      <c r="A326">
        <v>325</v>
      </c>
      <c r="B326" s="4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>
        <v>0.18</v>
      </c>
      <c r="L326">
        <v>0.2424</v>
      </c>
      <c r="M326">
        <v>0.55000000000000004</v>
      </c>
      <c r="N326">
        <v>0</v>
      </c>
      <c r="O326">
        <v>3</v>
      </c>
      <c r="P326">
        <v>25</v>
      </c>
      <c r="Q326">
        <v>28</v>
      </c>
    </row>
    <row r="327" spans="1:17" x14ac:dyDescent="0.3">
      <c r="A327">
        <v>326</v>
      </c>
      <c r="B327" s="4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0.16</v>
      </c>
      <c r="L327">
        <v>0.19700000000000001</v>
      </c>
      <c r="M327">
        <v>0.59</v>
      </c>
      <c r="N327">
        <v>8.9599999999999999E-2</v>
      </c>
      <c r="O327">
        <v>2</v>
      </c>
      <c r="P327">
        <v>18</v>
      </c>
      <c r="Q327">
        <v>20</v>
      </c>
    </row>
    <row r="328" spans="1:17" x14ac:dyDescent="0.3">
      <c r="A328">
        <v>327</v>
      </c>
      <c r="B328" s="4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>
        <v>0.16</v>
      </c>
      <c r="L328">
        <v>0.19700000000000001</v>
      </c>
      <c r="M328">
        <v>0.59</v>
      </c>
      <c r="N328">
        <v>8.9599999999999999E-2</v>
      </c>
      <c r="O328">
        <v>0</v>
      </c>
      <c r="P328">
        <v>12</v>
      </c>
      <c r="Q328">
        <v>12</v>
      </c>
    </row>
    <row r="329" spans="1:17" x14ac:dyDescent="0.3">
      <c r="A329">
        <v>328</v>
      </c>
      <c r="B329" s="4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>
        <v>0.16</v>
      </c>
      <c r="L329">
        <v>0.2273</v>
      </c>
      <c r="M329">
        <v>0.59</v>
      </c>
      <c r="N329">
        <v>0</v>
      </c>
      <c r="O329">
        <v>1</v>
      </c>
      <c r="P329">
        <v>7</v>
      </c>
      <c r="Q329">
        <v>8</v>
      </c>
    </row>
    <row r="330" spans="1:17" x14ac:dyDescent="0.3">
      <c r="A330">
        <v>329</v>
      </c>
      <c r="B330" s="4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>
        <v>0.16</v>
      </c>
      <c r="L330">
        <v>0.2273</v>
      </c>
      <c r="M330">
        <v>0.59</v>
      </c>
      <c r="N330">
        <v>0</v>
      </c>
      <c r="O330">
        <v>0</v>
      </c>
      <c r="P330">
        <v>5</v>
      </c>
      <c r="Q330">
        <v>5</v>
      </c>
    </row>
    <row r="331" spans="1:17" x14ac:dyDescent="0.3">
      <c r="A331">
        <v>330</v>
      </c>
      <c r="B331" s="4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>
        <v>0.16</v>
      </c>
      <c r="L331">
        <v>0.2273</v>
      </c>
      <c r="M331">
        <v>0.59</v>
      </c>
      <c r="N331">
        <v>0</v>
      </c>
      <c r="O331">
        <v>0</v>
      </c>
      <c r="P331">
        <v>1</v>
      </c>
      <c r="Q331">
        <v>1</v>
      </c>
    </row>
    <row r="332" spans="1:17" x14ac:dyDescent="0.3">
      <c r="A332">
        <v>331</v>
      </c>
      <c r="B332" s="4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>
        <v>0.14000000000000001</v>
      </c>
      <c r="L332">
        <v>0.16669999999999999</v>
      </c>
      <c r="M332">
        <v>0.63</v>
      </c>
      <c r="N332">
        <v>0.1045</v>
      </c>
      <c r="O332">
        <v>1</v>
      </c>
      <c r="P332">
        <v>2</v>
      </c>
      <c r="Q332">
        <v>3</v>
      </c>
    </row>
    <row r="333" spans="1:17" x14ac:dyDescent="0.3">
      <c r="A333">
        <v>332</v>
      </c>
      <c r="B333" s="4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>
        <v>0.14000000000000001</v>
      </c>
      <c r="L333">
        <v>0.21210000000000001</v>
      </c>
      <c r="M333">
        <v>0.63</v>
      </c>
      <c r="N333">
        <v>0</v>
      </c>
      <c r="O333">
        <v>1</v>
      </c>
      <c r="P333">
        <v>9</v>
      </c>
      <c r="Q333">
        <v>10</v>
      </c>
    </row>
    <row r="334" spans="1:17" x14ac:dyDescent="0.3">
      <c r="A334">
        <v>333</v>
      </c>
      <c r="B334" s="4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>
        <v>0.14000000000000001</v>
      </c>
      <c r="L334">
        <v>0.1515</v>
      </c>
      <c r="M334">
        <v>0.63</v>
      </c>
      <c r="N334">
        <v>0.1343</v>
      </c>
      <c r="O334">
        <v>1</v>
      </c>
      <c r="P334">
        <v>22</v>
      </c>
      <c r="Q334">
        <v>23</v>
      </c>
    </row>
    <row r="335" spans="1:17" x14ac:dyDescent="0.3">
      <c r="A335">
        <v>334</v>
      </c>
      <c r="B335" s="4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>
        <v>0.16</v>
      </c>
      <c r="L335">
        <v>0.18179999999999999</v>
      </c>
      <c r="M335">
        <v>0.64</v>
      </c>
      <c r="N335">
        <v>0.1343</v>
      </c>
      <c r="O335">
        <v>2</v>
      </c>
      <c r="P335">
        <v>31</v>
      </c>
      <c r="Q335">
        <v>33</v>
      </c>
    </row>
    <row r="336" spans="1:17" x14ac:dyDescent="0.3">
      <c r="A336">
        <v>335</v>
      </c>
      <c r="B336" s="4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>
        <v>0.18</v>
      </c>
      <c r="L336">
        <v>0.19700000000000001</v>
      </c>
      <c r="M336">
        <v>0.59</v>
      </c>
      <c r="N336">
        <v>0.16420000000000001</v>
      </c>
      <c r="O336">
        <v>2</v>
      </c>
      <c r="P336">
        <v>57</v>
      </c>
      <c r="Q336">
        <v>59</v>
      </c>
    </row>
    <row r="337" spans="1:17" x14ac:dyDescent="0.3">
      <c r="A337">
        <v>336</v>
      </c>
      <c r="B337" s="4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>
        <v>0.2</v>
      </c>
      <c r="L337">
        <v>0.19700000000000001</v>
      </c>
      <c r="M337">
        <v>0.55000000000000004</v>
      </c>
      <c r="N337">
        <v>0.22389999999999999</v>
      </c>
      <c r="O337">
        <v>18</v>
      </c>
      <c r="P337">
        <v>54</v>
      </c>
      <c r="Q337">
        <v>72</v>
      </c>
    </row>
    <row r="338" spans="1:17" x14ac:dyDescent="0.3">
      <c r="A338">
        <v>337</v>
      </c>
      <c r="B338" s="4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>
        <v>0.24</v>
      </c>
      <c r="L338">
        <v>0.2273</v>
      </c>
      <c r="M338">
        <v>0.48</v>
      </c>
      <c r="N338">
        <v>0.22389999999999999</v>
      </c>
      <c r="O338">
        <v>15</v>
      </c>
      <c r="P338">
        <v>74</v>
      </c>
      <c r="Q338">
        <v>89</v>
      </c>
    </row>
    <row r="339" spans="1:17" x14ac:dyDescent="0.3">
      <c r="A339">
        <v>338</v>
      </c>
      <c r="B339" s="4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>
        <v>0.28000000000000003</v>
      </c>
      <c r="L339">
        <v>0.2576</v>
      </c>
      <c r="M339">
        <v>0.38</v>
      </c>
      <c r="N339">
        <v>0.29849999999999999</v>
      </c>
      <c r="O339">
        <v>21</v>
      </c>
      <c r="P339">
        <v>80</v>
      </c>
      <c r="Q339">
        <v>101</v>
      </c>
    </row>
    <row r="340" spans="1:17" x14ac:dyDescent="0.3">
      <c r="A340">
        <v>339</v>
      </c>
      <c r="B340" s="4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>
        <v>0.3</v>
      </c>
      <c r="L340">
        <v>0.28789999999999999</v>
      </c>
      <c r="M340">
        <v>0.39</v>
      </c>
      <c r="N340">
        <v>0.28360000000000002</v>
      </c>
      <c r="O340">
        <v>26</v>
      </c>
      <c r="P340">
        <v>92</v>
      </c>
      <c r="Q340">
        <v>118</v>
      </c>
    </row>
    <row r="341" spans="1:17" x14ac:dyDescent="0.3">
      <c r="A341">
        <v>340</v>
      </c>
      <c r="B341" s="4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>
        <v>0.32</v>
      </c>
      <c r="L341">
        <v>0.31819999999999998</v>
      </c>
      <c r="M341">
        <v>0.36</v>
      </c>
      <c r="N341">
        <v>0.19400000000000001</v>
      </c>
      <c r="O341">
        <v>21</v>
      </c>
      <c r="P341">
        <v>108</v>
      </c>
      <c r="Q341">
        <v>129</v>
      </c>
    </row>
    <row r="342" spans="1:17" x14ac:dyDescent="0.3">
      <c r="A342">
        <v>341</v>
      </c>
      <c r="B342" s="4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>
        <v>0.34</v>
      </c>
      <c r="L342">
        <v>0.33329999999999999</v>
      </c>
      <c r="M342">
        <v>0.34</v>
      </c>
      <c r="N342">
        <v>0.19400000000000001</v>
      </c>
      <c r="O342">
        <v>33</v>
      </c>
      <c r="P342">
        <v>95</v>
      </c>
      <c r="Q342">
        <v>128</v>
      </c>
    </row>
    <row r="343" spans="1:17" x14ac:dyDescent="0.3">
      <c r="A343">
        <v>342</v>
      </c>
      <c r="B343" s="4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>
        <v>0.32</v>
      </c>
      <c r="L343">
        <v>0.30299999999999999</v>
      </c>
      <c r="M343">
        <v>0.36</v>
      </c>
      <c r="N343">
        <v>0.28360000000000002</v>
      </c>
      <c r="O343">
        <v>29</v>
      </c>
      <c r="P343">
        <v>54</v>
      </c>
      <c r="Q343">
        <v>83</v>
      </c>
    </row>
    <row r="344" spans="1:17" x14ac:dyDescent="0.3">
      <c r="A344">
        <v>343</v>
      </c>
      <c r="B344" s="4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>
        <v>0.3</v>
      </c>
      <c r="L344">
        <v>0.28789999999999999</v>
      </c>
      <c r="M344">
        <v>0.45</v>
      </c>
      <c r="N344">
        <v>0.25369999999999998</v>
      </c>
      <c r="O344">
        <v>15</v>
      </c>
      <c r="P344">
        <v>69</v>
      </c>
      <c r="Q344">
        <v>84</v>
      </c>
    </row>
    <row r="345" spans="1:17" x14ac:dyDescent="0.3">
      <c r="A345">
        <v>344</v>
      </c>
      <c r="B345" s="4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>
        <v>0.32</v>
      </c>
      <c r="L345">
        <v>0.30299999999999999</v>
      </c>
      <c r="M345">
        <v>0.39</v>
      </c>
      <c r="N345">
        <v>0.25369999999999998</v>
      </c>
      <c r="O345">
        <v>14</v>
      </c>
      <c r="P345">
        <v>60</v>
      </c>
      <c r="Q345">
        <v>74</v>
      </c>
    </row>
    <row r="346" spans="1:17" x14ac:dyDescent="0.3">
      <c r="A346">
        <v>345</v>
      </c>
      <c r="B346" s="4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>
        <v>0.32</v>
      </c>
      <c r="L346">
        <v>0.30299999999999999</v>
      </c>
      <c r="M346">
        <v>0.39</v>
      </c>
      <c r="N346">
        <v>0.25369999999999998</v>
      </c>
      <c r="O346">
        <v>6</v>
      </c>
      <c r="P346">
        <v>35</v>
      </c>
      <c r="Q346">
        <v>41</v>
      </c>
    </row>
    <row r="347" spans="1:17" x14ac:dyDescent="0.3">
      <c r="A347">
        <v>346</v>
      </c>
      <c r="B347" s="4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>
        <v>0.32</v>
      </c>
      <c r="L347">
        <v>0.30299999999999999</v>
      </c>
      <c r="M347">
        <v>0.39</v>
      </c>
      <c r="N347">
        <v>0.22389999999999999</v>
      </c>
      <c r="O347">
        <v>6</v>
      </c>
      <c r="P347">
        <v>51</v>
      </c>
      <c r="Q347">
        <v>57</v>
      </c>
    </row>
    <row r="348" spans="1:17" x14ac:dyDescent="0.3">
      <c r="A348">
        <v>347</v>
      </c>
      <c r="B348" s="4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>
        <v>0.3</v>
      </c>
      <c r="L348">
        <v>0.31819999999999998</v>
      </c>
      <c r="M348">
        <v>0.42</v>
      </c>
      <c r="N348">
        <v>0.1045</v>
      </c>
      <c r="O348">
        <v>0</v>
      </c>
      <c r="P348">
        <v>26</v>
      </c>
      <c r="Q348">
        <v>26</v>
      </c>
    </row>
    <row r="349" spans="1:17" x14ac:dyDescent="0.3">
      <c r="A349">
        <v>348</v>
      </c>
      <c r="B349" s="4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>
        <v>0.3</v>
      </c>
      <c r="L349">
        <v>0.28789999999999999</v>
      </c>
      <c r="M349">
        <v>0.45</v>
      </c>
      <c r="N349">
        <v>0.28360000000000002</v>
      </c>
      <c r="O349">
        <v>5</v>
      </c>
      <c r="P349">
        <v>39</v>
      </c>
      <c r="Q349">
        <v>44</v>
      </c>
    </row>
    <row r="350" spans="1:17" x14ac:dyDescent="0.3">
      <c r="A350">
        <v>349</v>
      </c>
      <c r="B350" s="4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0.30299999999999999</v>
      </c>
      <c r="M350">
        <v>0.56000000000000005</v>
      </c>
      <c r="N350">
        <v>0</v>
      </c>
      <c r="O350">
        <v>6</v>
      </c>
      <c r="P350">
        <v>33</v>
      </c>
      <c r="Q350">
        <v>39</v>
      </c>
    </row>
    <row r="351" spans="1:17" x14ac:dyDescent="0.3">
      <c r="A351">
        <v>350</v>
      </c>
      <c r="B351" s="4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0.26</v>
      </c>
      <c r="L351">
        <v>0.2727</v>
      </c>
      <c r="M351">
        <v>0.56000000000000005</v>
      </c>
      <c r="N351">
        <v>0.1343</v>
      </c>
      <c r="O351">
        <v>4</v>
      </c>
      <c r="P351">
        <v>19</v>
      </c>
      <c r="Q351">
        <v>23</v>
      </c>
    </row>
    <row r="352" spans="1:17" x14ac:dyDescent="0.3">
      <c r="A352">
        <v>351</v>
      </c>
      <c r="B352" s="4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0.26</v>
      </c>
      <c r="L352">
        <v>0.28789999999999999</v>
      </c>
      <c r="M352">
        <v>0.56000000000000005</v>
      </c>
      <c r="N352">
        <v>8.9599999999999999E-2</v>
      </c>
      <c r="O352">
        <v>3</v>
      </c>
      <c r="P352">
        <v>13</v>
      </c>
      <c r="Q352">
        <v>16</v>
      </c>
    </row>
    <row r="353" spans="1:17" x14ac:dyDescent="0.3">
      <c r="A353">
        <v>352</v>
      </c>
      <c r="B353" s="4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0.22</v>
      </c>
      <c r="L353">
        <v>0.2727</v>
      </c>
      <c r="M353">
        <v>0.69</v>
      </c>
      <c r="N353">
        <v>0</v>
      </c>
      <c r="O353">
        <v>9</v>
      </c>
      <c r="P353">
        <v>6</v>
      </c>
      <c r="Q353">
        <v>15</v>
      </c>
    </row>
    <row r="354" spans="1:17" x14ac:dyDescent="0.3">
      <c r="A354">
        <v>353</v>
      </c>
      <c r="B354" s="4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>
        <v>0.26</v>
      </c>
      <c r="L354">
        <v>0.2576</v>
      </c>
      <c r="M354">
        <v>0.56000000000000005</v>
      </c>
      <c r="N354">
        <v>0.16420000000000001</v>
      </c>
      <c r="O354">
        <v>0</v>
      </c>
      <c r="P354">
        <v>1</v>
      </c>
      <c r="Q354">
        <v>1</v>
      </c>
    </row>
    <row r="355" spans="1:17" x14ac:dyDescent="0.3">
      <c r="A355">
        <v>354</v>
      </c>
      <c r="B355" s="4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>
        <v>0.26</v>
      </c>
      <c r="L355">
        <v>0.2576</v>
      </c>
      <c r="M355">
        <v>0.56000000000000005</v>
      </c>
      <c r="N355">
        <v>0.16420000000000001</v>
      </c>
      <c r="O355">
        <v>1</v>
      </c>
      <c r="P355">
        <v>1</v>
      </c>
      <c r="Q355">
        <v>2</v>
      </c>
    </row>
    <row r="356" spans="1:17" x14ac:dyDescent="0.3">
      <c r="A356">
        <v>355</v>
      </c>
      <c r="B356" s="4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>
        <v>0.26</v>
      </c>
      <c r="L356">
        <v>0.2576</v>
      </c>
      <c r="M356">
        <v>0.56000000000000005</v>
      </c>
      <c r="N356">
        <v>0.16420000000000001</v>
      </c>
      <c r="O356">
        <v>0</v>
      </c>
      <c r="P356">
        <v>1</v>
      </c>
      <c r="Q356">
        <v>1</v>
      </c>
    </row>
    <row r="357" spans="1:17" x14ac:dyDescent="0.3">
      <c r="A357">
        <v>356</v>
      </c>
      <c r="B357" s="4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>
        <v>0.24</v>
      </c>
      <c r="L357">
        <v>0.21210000000000001</v>
      </c>
      <c r="M357">
        <v>0.56000000000000005</v>
      </c>
      <c r="N357">
        <v>0.29849999999999999</v>
      </c>
      <c r="O357">
        <v>0</v>
      </c>
      <c r="P357">
        <v>3</v>
      </c>
      <c r="Q357">
        <v>3</v>
      </c>
    </row>
    <row r="358" spans="1:17" x14ac:dyDescent="0.3">
      <c r="A358">
        <v>357</v>
      </c>
      <c r="B358" s="4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>
        <v>0.22</v>
      </c>
      <c r="L358">
        <v>0.21210000000000001</v>
      </c>
      <c r="M358">
        <v>0.55000000000000004</v>
      </c>
      <c r="N358">
        <v>0.28360000000000002</v>
      </c>
      <c r="O358">
        <v>0</v>
      </c>
      <c r="P358">
        <v>18</v>
      </c>
      <c r="Q358">
        <v>18</v>
      </c>
    </row>
    <row r="359" spans="1:17" x14ac:dyDescent="0.3">
      <c r="A359">
        <v>358</v>
      </c>
      <c r="B359" s="4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>
        <v>0.22</v>
      </c>
      <c r="L359">
        <v>0.21210000000000001</v>
      </c>
      <c r="M359">
        <v>0.51</v>
      </c>
      <c r="N359">
        <v>0.25369999999999998</v>
      </c>
      <c r="O359">
        <v>3</v>
      </c>
      <c r="P359">
        <v>29</v>
      </c>
      <c r="Q359">
        <v>32</v>
      </c>
    </row>
    <row r="360" spans="1:17" x14ac:dyDescent="0.3">
      <c r="A360">
        <v>359</v>
      </c>
      <c r="B360" s="4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>
        <v>0.22</v>
      </c>
      <c r="L360">
        <v>0.21210000000000001</v>
      </c>
      <c r="M360">
        <v>0.51</v>
      </c>
      <c r="N360">
        <v>0.28360000000000002</v>
      </c>
      <c r="O360">
        <v>8</v>
      </c>
      <c r="P360">
        <v>71</v>
      </c>
      <c r="Q360">
        <v>79</v>
      </c>
    </row>
    <row r="361" spans="1:17" x14ac:dyDescent="0.3">
      <c r="A361">
        <v>360</v>
      </c>
      <c r="B361" s="4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0.24</v>
      </c>
      <c r="L361">
        <v>0.2273</v>
      </c>
      <c r="M361">
        <v>0.44</v>
      </c>
      <c r="N361">
        <v>0.25369999999999998</v>
      </c>
      <c r="O361">
        <v>23</v>
      </c>
      <c r="P361">
        <v>70</v>
      </c>
      <c r="Q361">
        <v>93</v>
      </c>
    </row>
    <row r="362" spans="1:17" x14ac:dyDescent="0.3">
      <c r="A362">
        <v>361</v>
      </c>
      <c r="B362" s="4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>
        <v>0.24</v>
      </c>
      <c r="L362">
        <v>0.21210000000000001</v>
      </c>
      <c r="M362">
        <v>0.41</v>
      </c>
      <c r="N362">
        <v>0.28360000000000002</v>
      </c>
      <c r="O362">
        <v>29</v>
      </c>
      <c r="P362">
        <v>75</v>
      </c>
      <c r="Q362">
        <v>104</v>
      </c>
    </row>
    <row r="363" spans="1:17" x14ac:dyDescent="0.3">
      <c r="A363">
        <v>362</v>
      </c>
      <c r="B363" s="4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>
        <v>0.26</v>
      </c>
      <c r="L363">
        <v>0.2273</v>
      </c>
      <c r="M363">
        <v>0.35</v>
      </c>
      <c r="N363">
        <v>0.29849999999999999</v>
      </c>
      <c r="O363">
        <v>23</v>
      </c>
      <c r="P363">
        <v>95</v>
      </c>
      <c r="Q363">
        <v>118</v>
      </c>
    </row>
    <row r="364" spans="1:17" x14ac:dyDescent="0.3">
      <c r="A364">
        <v>363</v>
      </c>
      <c r="B364" s="4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>
        <v>0.28000000000000003</v>
      </c>
      <c r="L364">
        <v>0.2727</v>
      </c>
      <c r="M364">
        <v>0.36</v>
      </c>
      <c r="N364">
        <v>0.25369999999999998</v>
      </c>
      <c r="O364">
        <v>22</v>
      </c>
      <c r="P364">
        <v>69</v>
      </c>
      <c r="Q364">
        <v>91</v>
      </c>
    </row>
    <row r="365" spans="1:17" x14ac:dyDescent="0.3">
      <c r="A365">
        <v>364</v>
      </c>
      <c r="B365" s="4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>
        <v>0.26</v>
      </c>
      <c r="L365">
        <v>0.2424</v>
      </c>
      <c r="M365">
        <v>0.38</v>
      </c>
      <c r="N365">
        <v>0.25369999999999998</v>
      </c>
      <c r="O365">
        <v>35</v>
      </c>
      <c r="P365">
        <v>78</v>
      </c>
      <c r="Q365">
        <v>113</v>
      </c>
    </row>
    <row r="366" spans="1:17" x14ac:dyDescent="0.3">
      <c r="A366">
        <v>365</v>
      </c>
      <c r="B366" s="4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>
        <v>0.24</v>
      </c>
      <c r="L366">
        <v>0.2273</v>
      </c>
      <c r="M366">
        <v>0.38</v>
      </c>
      <c r="N366">
        <v>0.22389999999999999</v>
      </c>
      <c r="O366">
        <v>22</v>
      </c>
      <c r="P366">
        <v>77</v>
      </c>
      <c r="Q366">
        <v>99</v>
      </c>
    </row>
    <row r="367" spans="1:17" x14ac:dyDescent="0.3">
      <c r="A367">
        <v>366</v>
      </c>
      <c r="B367" s="4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>
        <v>0.22</v>
      </c>
      <c r="L367">
        <v>0.21210000000000001</v>
      </c>
      <c r="M367">
        <v>0.37</v>
      </c>
      <c r="N367">
        <v>0.25369999999999998</v>
      </c>
      <c r="O367">
        <v>23</v>
      </c>
      <c r="P367">
        <v>82</v>
      </c>
      <c r="Q367">
        <v>105</v>
      </c>
    </row>
    <row r="368" spans="1:17" x14ac:dyDescent="0.3">
      <c r="A368">
        <v>367</v>
      </c>
      <c r="B368" s="4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>
        <v>0.2</v>
      </c>
      <c r="L368">
        <v>0.21210000000000001</v>
      </c>
      <c r="M368">
        <v>0.4</v>
      </c>
      <c r="N368">
        <v>0.16420000000000001</v>
      </c>
      <c r="O368">
        <v>11</v>
      </c>
      <c r="P368">
        <v>56</v>
      </c>
      <c r="Q368">
        <v>67</v>
      </c>
    </row>
    <row r="369" spans="1:17" x14ac:dyDescent="0.3">
      <c r="A369">
        <v>368</v>
      </c>
      <c r="B369" s="4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>
        <v>0.18</v>
      </c>
      <c r="L369">
        <v>0.19700000000000001</v>
      </c>
      <c r="M369">
        <v>0.47</v>
      </c>
      <c r="N369">
        <v>0.1343</v>
      </c>
      <c r="O369">
        <v>14</v>
      </c>
      <c r="P369">
        <v>47</v>
      </c>
      <c r="Q369">
        <v>61</v>
      </c>
    </row>
    <row r="370" spans="1:17" x14ac:dyDescent="0.3">
      <c r="A370">
        <v>369</v>
      </c>
      <c r="B370" s="4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>
        <v>0.18</v>
      </c>
      <c r="L370">
        <v>0.19700000000000001</v>
      </c>
      <c r="M370">
        <v>0.47</v>
      </c>
      <c r="N370">
        <v>0.16420000000000001</v>
      </c>
      <c r="O370">
        <v>7</v>
      </c>
      <c r="P370">
        <v>50</v>
      </c>
      <c r="Q370">
        <v>57</v>
      </c>
    </row>
    <row r="371" spans="1:17" x14ac:dyDescent="0.3">
      <c r="A371">
        <v>370</v>
      </c>
      <c r="B371" s="4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0.18</v>
      </c>
      <c r="L371">
        <v>0.19700000000000001</v>
      </c>
      <c r="M371">
        <v>0.51</v>
      </c>
      <c r="N371">
        <v>0.16420000000000001</v>
      </c>
      <c r="O371">
        <v>6</v>
      </c>
      <c r="P371">
        <v>22</v>
      </c>
      <c r="Q371">
        <v>28</v>
      </c>
    </row>
    <row r="372" spans="1:17" x14ac:dyDescent="0.3">
      <c r="A372">
        <v>371</v>
      </c>
      <c r="B372" s="4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>
        <v>0.2</v>
      </c>
      <c r="L372">
        <v>0.21210000000000001</v>
      </c>
      <c r="M372">
        <v>0.49</v>
      </c>
      <c r="N372">
        <v>0.1343</v>
      </c>
      <c r="O372">
        <v>2</v>
      </c>
      <c r="P372">
        <v>19</v>
      </c>
      <c r="Q372">
        <v>21</v>
      </c>
    </row>
    <row r="373" spans="1:17" x14ac:dyDescent="0.3">
      <c r="A373">
        <v>372</v>
      </c>
      <c r="B373" s="4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>
        <v>0.2</v>
      </c>
      <c r="L373">
        <v>0.2273</v>
      </c>
      <c r="M373">
        <v>0.4</v>
      </c>
      <c r="N373">
        <v>0.1045</v>
      </c>
      <c r="O373">
        <v>0</v>
      </c>
      <c r="P373">
        <v>18</v>
      </c>
      <c r="Q373">
        <v>18</v>
      </c>
    </row>
    <row r="374" spans="1:17" x14ac:dyDescent="0.3">
      <c r="A374">
        <v>373</v>
      </c>
      <c r="B374" s="4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>
        <v>0.2</v>
      </c>
      <c r="L374">
        <v>0.19700000000000001</v>
      </c>
      <c r="M374">
        <v>0.47</v>
      </c>
      <c r="N374">
        <v>0.22389999999999999</v>
      </c>
      <c r="O374">
        <v>1</v>
      </c>
      <c r="P374">
        <v>16</v>
      </c>
      <c r="Q374">
        <v>17</v>
      </c>
    </row>
    <row r="375" spans="1:17" x14ac:dyDescent="0.3">
      <c r="A375">
        <v>374</v>
      </c>
      <c r="B375" s="4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>
        <v>0.2</v>
      </c>
      <c r="L375">
        <v>0.19700000000000001</v>
      </c>
      <c r="M375">
        <v>0.44</v>
      </c>
      <c r="N375">
        <v>0.19400000000000001</v>
      </c>
      <c r="O375">
        <v>1</v>
      </c>
      <c r="P375">
        <v>15</v>
      </c>
      <c r="Q375">
        <v>16</v>
      </c>
    </row>
    <row r="376" spans="1:17" x14ac:dyDescent="0.3">
      <c r="A376">
        <v>375</v>
      </c>
      <c r="B376" s="4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>
        <v>0.18</v>
      </c>
      <c r="L376">
        <v>0.16669999999999999</v>
      </c>
      <c r="M376">
        <v>0.43</v>
      </c>
      <c r="N376">
        <v>0.25369999999999998</v>
      </c>
      <c r="O376">
        <v>0</v>
      </c>
      <c r="P376">
        <v>8</v>
      </c>
      <c r="Q376">
        <v>8</v>
      </c>
    </row>
    <row r="377" spans="1:17" x14ac:dyDescent="0.3">
      <c r="A377">
        <v>376</v>
      </c>
      <c r="B377" s="4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>
        <v>0.18</v>
      </c>
      <c r="L377">
        <v>0.18179999999999999</v>
      </c>
      <c r="M377">
        <v>0.43</v>
      </c>
      <c r="N377">
        <v>0.19400000000000001</v>
      </c>
      <c r="O377">
        <v>0</v>
      </c>
      <c r="P377">
        <v>2</v>
      </c>
      <c r="Q377">
        <v>2</v>
      </c>
    </row>
    <row r="378" spans="1:17" x14ac:dyDescent="0.3">
      <c r="A378">
        <v>377</v>
      </c>
      <c r="B378" s="4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>
        <v>0.18</v>
      </c>
      <c r="L378">
        <v>0.19700000000000001</v>
      </c>
      <c r="M378">
        <v>0.43</v>
      </c>
      <c r="N378">
        <v>0.1343</v>
      </c>
      <c r="O378">
        <v>1</v>
      </c>
      <c r="P378">
        <v>2</v>
      </c>
      <c r="Q378">
        <v>3</v>
      </c>
    </row>
    <row r="379" spans="1:17" x14ac:dyDescent="0.3">
      <c r="A379">
        <v>378</v>
      </c>
      <c r="B379" s="4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>
        <v>0.18</v>
      </c>
      <c r="L379">
        <v>0.19700000000000001</v>
      </c>
      <c r="M379">
        <v>0.43</v>
      </c>
      <c r="N379">
        <v>0.16420000000000001</v>
      </c>
      <c r="O379">
        <v>0</v>
      </c>
      <c r="P379">
        <v>1</v>
      </c>
      <c r="Q379">
        <v>1</v>
      </c>
    </row>
    <row r="380" spans="1:17" x14ac:dyDescent="0.3">
      <c r="A380">
        <v>379</v>
      </c>
      <c r="B380" s="4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>
        <v>0.18</v>
      </c>
      <c r="L380">
        <v>0.18179999999999999</v>
      </c>
      <c r="M380">
        <v>0.43</v>
      </c>
      <c r="N380">
        <v>0.19400000000000001</v>
      </c>
      <c r="O380">
        <v>0</v>
      </c>
      <c r="P380">
        <v>5</v>
      </c>
      <c r="Q380">
        <v>5</v>
      </c>
    </row>
    <row r="381" spans="1:17" x14ac:dyDescent="0.3">
      <c r="A381">
        <v>380</v>
      </c>
      <c r="B381" s="4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>
        <v>0.16</v>
      </c>
      <c r="L381">
        <v>0.18179999999999999</v>
      </c>
      <c r="M381">
        <v>0.5</v>
      </c>
      <c r="N381">
        <v>0.1343</v>
      </c>
      <c r="O381">
        <v>4</v>
      </c>
      <c r="P381">
        <v>9</v>
      </c>
      <c r="Q381">
        <v>13</v>
      </c>
    </row>
    <row r="382" spans="1:17" x14ac:dyDescent="0.3">
      <c r="A382">
        <v>381</v>
      </c>
      <c r="B382" s="4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>
        <v>0.16</v>
      </c>
      <c r="L382">
        <v>0.1515</v>
      </c>
      <c r="M382">
        <v>0.47</v>
      </c>
      <c r="N382">
        <v>0.22389999999999999</v>
      </c>
      <c r="O382">
        <v>3</v>
      </c>
      <c r="P382">
        <v>30</v>
      </c>
      <c r="Q382">
        <v>33</v>
      </c>
    </row>
    <row r="383" spans="1:17" x14ac:dyDescent="0.3">
      <c r="A383">
        <v>382</v>
      </c>
      <c r="B383" s="4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>
        <v>0.16</v>
      </c>
      <c r="L383">
        <v>0.1515</v>
      </c>
      <c r="M383">
        <v>0.47</v>
      </c>
      <c r="N383">
        <v>0.22389999999999999</v>
      </c>
      <c r="O383">
        <v>8</v>
      </c>
      <c r="P383">
        <v>39</v>
      </c>
      <c r="Q383">
        <v>47</v>
      </c>
    </row>
    <row r="384" spans="1:17" x14ac:dyDescent="0.3">
      <c r="A384">
        <v>383</v>
      </c>
      <c r="B384" s="4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>
        <v>0.16</v>
      </c>
      <c r="L384">
        <v>0.1515</v>
      </c>
      <c r="M384">
        <v>0.5</v>
      </c>
      <c r="N384">
        <v>0.25369999999999998</v>
      </c>
      <c r="O384">
        <v>7</v>
      </c>
      <c r="P384">
        <v>50</v>
      </c>
      <c r="Q384">
        <v>57</v>
      </c>
    </row>
    <row r="385" spans="1:17" x14ac:dyDescent="0.3">
      <c r="A385">
        <v>384</v>
      </c>
      <c r="B385" s="4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>
        <v>0.16</v>
      </c>
      <c r="L385">
        <v>0.1515</v>
      </c>
      <c r="M385">
        <v>0.55000000000000004</v>
      </c>
      <c r="N385">
        <v>0.19400000000000001</v>
      </c>
      <c r="O385">
        <v>9</v>
      </c>
      <c r="P385">
        <v>55</v>
      </c>
      <c r="Q385">
        <v>64</v>
      </c>
    </row>
    <row r="386" spans="1:17" x14ac:dyDescent="0.3">
      <c r="A386">
        <v>385</v>
      </c>
      <c r="B386" s="4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>
        <v>0.18</v>
      </c>
      <c r="L386">
        <v>0.19700000000000001</v>
      </c>
      <c r="M386">
        <v>0.47</v>
      </c>
      <c r="N386">
        <v>0.1343</v>
      </c>
      <c r="O386">
        <v>10</v>
      </c>
      <c r="P386">
        <v>70</v>
      </c>
      <c r="Q386">
        <v>80</v>
      </c>
    </row>
    <row r="387" spans="1:17" x14ac:dyDescent="0.3">
      <c r="A387">
        <v>386</v>
      </c>
      <c r="B387" s="4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>
        <v>0.18</v>
      </c>
      <c r="L387">
        <v>0.19700000000000001</v>
      </c>
      <c r="M387">
        <v>0.47</v>
      </c>
      <c r="N387">
        <v>0.1343</v>
      </c>
      <c r="O387">
        <v>13</v>
      </c>
      <c r="P387">
        <v>80</v>
      </c>
      <c r="Q387">
        <v>93</v>
      </c>
    </row>
    <row r="388" spans="1:17" x14ac:dyDescent="0.3">
      <c r="A388">
        <v>387</v>
      </c>
      <c r="B388" s="4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>
        <v>0.18</v>
      </c>
      <c r="L388">
        <v>0.21210000000000001</v>
      </c>
      <c r="M388">
        <v>0.43</v>
      </c>
      <c r="N388">
        <v>0.1045</v>
      </c>
      <c r="O388">
        <v>12</v>
      </c>
      <c r="P388">
        <v>74</v>
      </c>
      <c r="Q388">
        <v>86</v>
      </c>
    </row>
    <row r="389" spans="1:17" x14ac:dyDescent="0.3">
      <c r="A389">
        <v>388</v>
      </c>
      <c r="B389" s="4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>
        <v>0.2</v>
      </c>
      <c r="L389">
        <v>0.21210000000000001</v>
      </c>
      <c r="M389">
        <v>0.47</v>
      </c>
      <c r="N389">
        <v>0.16420000000000001</v>
      </c>
      <c r="O389">
        <v>21</v>
      </c>
      <c r="P389">
        <v>72</v>
      </c>
      <c r="Q389">
        <v>93</v>
      </c>
    </row>
    <row r="390" spans="1:17" x14ac:dyDescent="0.3">
      <c r="A390">
        <v>389</v>
      </c>
      <c r="B390" s="4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>
        <v>0.2</v>
      </c>
      <c r="L390">
        <v>0.21210000000000001</v>
      </c>
      <c r="M390">
        <v>0.47</v>
      </c>
      <c r="N390">
        <v>0.16420000000000001</v>
      </c>
      <c r="O390">
        <v>6</v>
      </c>
      <c r="P390">
        <v>76</v>
      </c>
      <c r="Q390">
        <v>82</v>
      </c>
    </row>
    <row r="391" spans="1:17" x14ac:dyDescent="0.3">
      <c r="A391">
        <v>390</v>
      </c>
      <c r="B391" s="4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>
        <v>0.2</v>
      </c>
      <c r="L391">
        <v>0.19700000000000001</v>
      </c>
      <c r="M391">
        <v>0.51</v>
      </c>
      <c r="N391">
        <v>0.19400000000000001</v>
      </c>
      <c r="O391">
        <v>4</v>
      </c>
      <c r="P391">
        <v>67</v>
      </c>
      <c r="Q391">
        <v>71</v>
      </c>
    </row>
    <row r="392" spans="1:17" x14ac:dyDescent="0.3">
      <c r="A392">
        <v>391</v>
      </c>
      <c r="B392" s="4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>
        <v>0.18</v>
      </c>
      <c r="L392">
        <v>0.16669999999999999</v>
      </c>
      <c r="M392">
        <v>0.55000000000000004</v>
      </c>
      <c r="N392">
        <v>0.25369999999999998</v>
      </c>
      <c r="O392">
        <v>7</v>
      </c>
      <c r="P392">
        <v>85</v>
      </c>
      <c r="Q392">
        <v>92</v>
      </c>
    </row>
    <row r="393" spans="1:17" x14ac:dyDescent="0.3">
      <c r="A393">
        <v>392</v>
      </c>
      <c r="B393" s="4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>
        <v>0.18</v>
      </c>
      <c r="L393">
        <v>0.18179999999999999</v>
      </c>
      <c r="M393">
        <v>0.59</v>
      </c>
      <c r="N393">
        <v>0.19400000000000001</v>
      </c>
      <c r="O393">
        <v>2</v>
      </c>
      <c r="P393">
        <v>58</v>
      </c>
      <c r="Q393">
        <v>60</v>
      </c>
    </row>
    <row r="394" spans="1:17" x14ac:dyDescent="0.3">
      <c r="A394">
        <v>393</v>
      </c>
      <c r="B394" s="4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>
        <v>0.16</v>
      </c>
      <c r="L394">
        <v>0.1515</v>
      </c>
      <c r="M394">
        <v>0.8</v>
      </c>
      <c r="N394">
        <v>0.19400000000000001</v>
      </c>
      <c r="O394">
        <v>4</v>
      </c>
      <c r="P394">
        <v>29</v>
      </c>
      <c r="Q394">
        <v>33</v>
      </c>
    </row>
    <row r="395" spans="1:17" x14ac:dyDescent="0.3">
      <c r="A395">
        <v>394</v>
      </c>
      <c r="B395" s="4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>
        <v>0.16</v>
      </c>
      <c r="L395">
        <v>0.1515</v>
      </c>
      <c r="M395">
        <v>0.8</v>
      </c>
      <c r="N395">
        <v>0.19400000000000001</v>
      </c>
      <c r="O395">
        <v>3</v>
      </c>
      <c r="P395">
        <v>24</v>
      </c>
      <c r="Q395">
        <v>27</v>
      </c>
    </row>
    <row r="396" spans="1:17" x14ac:dyDescent="0.3">
      <c r="A396">
        <v>395</v>
      </c>
      <c r="B396" s="4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>
        <v>0.14000000000000001</v>
      </c>
      <c r="L396">
        <v>0.1212</v>
      </c>
      <c r="M396">
        <v>0.93</v>
      </c>
      <c r="N396">
        <v>0.25369999999999998</v>
      </c>
      <c r="O396">
        <v>0</v>
      </c>
      <c r="P396">
        <v>13</v>
      </c>
      <c r="Q396">
        <v>13</v>
      </c>
    </row>
    <row r="397" spans="1:17" x14ac:dyDescent="0.3">
      <c r="A397">
        <v>396</v>
      </c>
      <c r="B397" s="4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>
        <v>0.16</v>
      </c>
      <c r="L397">
        <v>0.13639999999999999</v>
      </c>
      <c r="M397">
        <v>0.86</v>
      </c>
      <c r="N397">
        <v>0.28360000000000002</v>
      </c>
      <c r="O397">
        <v>1</v>
      </c>
      <c r="P397">
        <v>3</v>
      </c>
      <c r="Q397">
        <v>4</v>
      </c>
    </row>
    <row r="398" spans="1:17" x14ac:dyDescent="0.3">
      <c r="A398">
        <v>397</v>
      </c>
      <c r="B398" s="4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>
        <v>0.2</v>
      </c>
      <c r="L398">
        <v>0.18179999999999999</v>
      </c>
      <c r="M398">
        <v>0.86</v>
      </c>
      <c r="N398">
        <v>0.32840000000000003</v>
      </c>
      <c r="O398">
        <v>0</v>
      </c>
      <c r="P398">
        <v>3</v>
      </c>
      <c r="Q398">
        <v>3</v>
      </c>
    </row>
    <row r="399" spans="1:17" x14ac:dyDescent="0.3">
      <c r="A399">
        <v>398</v>
      </c>
      <c r="B399" s="4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>
        <v>0.2</v>
      </c>
      <c r="L399">
        <v>0.19700000000000001</v>
      </c>
      <c r="M399">
        <v>0.86</v>
      </c>
      <c r="N399">
        <v>0.22389999999999999</v>
      </c>
      <c r="O399">
        <v>0</v>
      </c>
      <c r="P399">
        <v>22</v>
      </c>
      <c r="Q399">
        <v>22</v>
      </c>
    </row>
    <row r="400" spans="1:17" x14ac:dyDescent="0.3">
      <c r="A400">
        <v>399</v>
      </c>
      <c r="B400" s="4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>
        <v>0.22</v>
      </c>
      <c r="L400">
        <v>0.2273</v>
      </c>
      <c r="M400">
        <v>0.8</v>
      </c>
      <c r="N400">
        <v>0.16420000000000001</v>
      </c>
      <c r="O400">
        <v>2</v>
      </c>
      <c r="P400">
        <v>26</v>
      </c>
      <c r="Q400">
        <v>28</v>
      </c>
    </row>
    <row r="401" spans="1:17" x14ac:dyDescent="0.3">
      <c r="A401">
        <v>400</v>
      </c>
      <c r="B401" s="4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>
        <v>0.22</v>
      </c>
      <c r="L401">
        <v>0.2273</v>
      </c>
      <c r="M401">
        <v>0.87</v>
      </c>
      <c r="N401">
        <v>0.16420000000000001</v>
      </c>
      <c r="O401">
        <v>3</v>
      </c>
      <c r="P401">
        <v>32</v>
      </c>
      <c r="Q401">
        <v>35</v>
      </c>
    </row>
    <row r="402" spans="1:17" x14ac:dyDescent="0.3">
      <c r="A402">
        <v>401</v>
      </c>
      <c r="B402" s="4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>
        <v>0.22</v>
      </c>
      <c r="L402">
        <v>0.2273</v>
      </c>
      <c r="M402">
        <v>0.87</v>
      </c>
      <c r="N402">
        <v>0.19400000000000001</v>
      </c>
      <c r="O402">
        <v>0</v>
      </c>
      <c r="P402">
        <v>61</v>
      </c>
      <c r="Q402">
        <v>61</v>
      </c>
    </row>
    <row r="403" spans="1:17" x14ac:dyDescent="0.3">
      <c r="A403">
        <v>402</v>
      </c>
      <c r="B403" s="4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>
        <v>0.22</v>
      </c>
      <c r="L403">
        <v>0.2273</v>
      </c>
      <c r="M403">
        <v>0.82</v>
      </c>
      <c r="N403">
        <v>0.19400000000000001</v>
      </c>
      <c r="O403">
        <v>1</v>
      </c>
      <c r="P403">
        <v>124</v>
      </c>
      <c r="Q403">
        <v>125</v>
      </c>
    </row>
    <row r="404" spans="1:17" x14ac:dyDescent="0.3">
      <c r="A404">
        <v>403</v>
      </c>
      <c r="B404" s="4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>
        <v>0.22</v>
      </c>
      <c r="L404">
        <v>0.2273</v>
      </c>
      <c r="M404">
        <v>0.8</v>
      </c>
      <c r="N404">
        <v>0.16420000000000001</v>
      </c>
      <c r="O404">
        <v>1</v>
      </c>
      <c r="P404">
        <v>132</v>
      </c>
      <c r="Q404">
        <v>133</v>
      </c>
    </row>
    <row r="405" spans="1:17" x14ac:dyDescent="0.3">
      <c r="A405">
        <v>404</v>
      </c>
      <c r="B405" s="4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>
        <v>0.22</v>
      </c>
      <c r="L405">
        <v>0.2273</v>
      </c>
      <c r="M405">
        <v>0.8</v>
      </c>
      <c r="N405">
        <v>0.1343</v>
      </c>
      <c r="O405">
        <v>1</v>
      </c>
      <c r="P405">
        <v>98</v>
      </c>
      <c r="Q405">
        <v>99</v>
      </c>
    </row>
    <row r="406" spans="1:17" x14ac:dyDescent="0.3">
      <c r="A406">
        <v>405</v>
      </c>
      <c r="B406" s="4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>
        <v>0.22</v>
      </c>
      <c r="L406">
        <v>0.2727</v>
      </c>
      <c r="M406">
        <v>0.87</v>
      </c>
      <c r="N406">
        <v>0</v>
      </c>
      <c r="O406">
        <v>0</v>
      </c>
      <c r="P406">
        <v>83</v>
      </c>
      <c r="Q406">
        <v>83</v>
      </c>
    </row>
    <row r="407" spans="1:17" x14ac:dyDescent="0.3">
      <c r="A407">
        <v>406</v>
      </c>
      <c r="B407" s="4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>
        <v>0.22</v>
      </c>
      <c r="L407">
        <v>0.2424</v>
      </c>
      <c r="M407">
        <v>0.93</v>
      </c>
      <c r="N407">
        <v>0.1045</v>
      </c>
      <c r="O407">
        <v>0</v>
      </c>
      <c r="P407">
        <v>41</v>
      </c>
      <c r="Q407">
        <v>41</v>
      </c>
    </row>
    <row r="408" spans="1:17" x14ac:dyDescent="0.3">
      <c r="A408">
        <v>407</v>
      </c>
      <c r="B408" s="4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>
        <v>0.22</v>
      </c>
      <c r="L408">
        <v>0.2576</v>
      </c>
      <c r="M408">
        <v>0.93</v>
      </c>
      <c r="N408">
        <v>8.9599999999999999E-2</v>
      </c>
      <c r="O408">
        <v>0</v>
      </c>
      <c r="P408">
        <v>33</v>
      </c>
      <c r="Q408">
        <v>33</v>
      </c>
    </row>
    <row r="409" spans="1:17" x14ac:dyDescent="0.3">
      <c r="A409">
        <v>408</v>
      </c>
      <c r="B409" s="4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>
        <v>0.22</v>
      </c>
      <c r="L409">
        <v>0.2727</v>
      </c>
      <c r="M409">
        <v>0.93</v>
      </c>
      <c r="N409">
        <v>0</v>
      </c>
      <c r="O409">
        <v>1</v>
      </c>
      <c r="P409">
        <v>19</v>
      </c>
      <c r="Q409">
        <v>20</v>
      </c>
    </row>
    <row r="410" spans="1:17" x14ac:dyDescent="0.3">
      <c r="A410">
        <v>409</v>
      </c>
      <c r="B410" s="4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0.22</v>
      </c>
      <c r="L410">
        <v>0.2727</v>
      </c>
      <c r="M410">
        <v>0.93</v>
      </c>
      <c r="N410">
        <v>0</v>
      </c>
      <c r="O410">
        <v>0</v>
      </c>
      <c r="P410">
        <v>3</v>
      </c>
      <c r="Q410">
        <v>3</v>
      </c>
    </row>
    <row r="411" spans="1:17" x14ac:dyDescent="0.3">
      <c r="A411">
        <v>410</v>
      </c>
      <c r="B411" s="4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>
        <v>0.22</v>
      </c>
      <c r="L411">
        <v>0.2273</v>
      </c>
      <c r="M411">
        <v>0.93</v>
      </c>
      <c r="N411">
        <v>0.1343</v>
      </c>
      <c r="O411">
        <v>1</v>
      </c>
      <c r="P411">
        <v>6</v>
      </c>
      <c r="Q411">
        <v>7</v>
      </c>
    </row>
    <row r="412" spans="1:17" x14ac:dyDescent="0.3">
      <c r="A412">
        <v>411</v>
      </c>
      <c r="B412" s="4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>
        <v>0.22</v>
      </c>
      <c r="L412">
        <v>0.2273</v>
      </c>
      <c r="M412">
        <v>0.93</v>
      </c>
      <c r="N412">
        <v>0.1343</v>
      </c>
      <c r="O412">
        <v>0</v>
      </c>
      <c r="P412">
        <v>3</v>
      </c>
      <c r="Q412">
        <v>3</v>
      </c>
    </row>
    <row r="413" spans="1:17" x14ac:dyDescent="0.3">
      <c r="A413">
        <v>412</v>
      </c>
      <c r="B413" s="4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>
        <v>0.22</v>
      </c>
      <c r="L413">
        <v>0.2273</v>
      </c>
      <c r="M413">
        <v>0.93</v>
      </c>
      <c r="N413">
        <v>0.1343</v>
      </c>
      <c r="O413">
        <v>1</v>
      </c>
      <c r="P413">
        <v>1</v>
      </c>
      <c r="Q413">
        <v>2</v>
      </c>
    </row>
    <row r="414" spans="1:17" x14ac:dyDescent="0.3">
      <c r="A414">
        <v>413</v>
      </c>
      <c r="B414" s="4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>
        <v>0.22</v>
      </c>
      <c r="L414">
        <v>0.2576</v>
      </c>
      <c r="M414">
        <v>0.93</v>
      </c>
      <c r="N414">
        <v>8.9599999999999999E-2</v>
      </c>
      <c r="O414">
        <v>0</v>
      </c>
      <c r="P414">
        <v>7</v>
      </c>
      <c r="Q414">
        <v>7</v>
      </c>
    </row>
    <row r="415" spans="1:17" x14ac:dyDescent="0.3">
      <c r="A415">
        <v>414</v>
      </c>
      <c r="B415" s="4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>
        <v>0.22</v>
      </c>
      <c r="L415">
        <v>0.2576</v>
      </c>
      <c r="M415">
        <v>0.93</v>
      </c>
      <c r="N415">
        <v>8.9599999999999999E-2</v>
      </c>
      <c r="O415">
        <v>0</v>
      </c>
      <c r="P415">
        <v>32</v>
      </c>
      <c r="Q415">
        <v>32</v>
      </c>
    </row>
    <row r="416" spans="1:17" x14ac:dyDescent="0.3">
      <c r="A416">
        <v>415</v>
      </c>
      <c r="B416" s="4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>
        <v>0.24</v>
      </c>
      <c r="L416">
        <v>0.2576</v>
      </c>
      <c r="M416">
        <v>0.92</v>
      </c>
      <c r="N416">
        <v>0.1045</v>
      </c>
      <c r="O416">
        <v>1</v>
      </c>
      <c r="P416">
        <v>89</v>
      </c>
      <c r="Q416">
        <v>90</v>
      </c>
    </row>
    <row r="417" spans="1:17" x14ac:dyDescent="0.3">
      <c r="A417">
        <v>416</v>
      </c>
      <c r="B417" s="4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>
        <v>0.24</v>
      </c>
      <c r="L417">
        <v>0.2576</v>
      </c>
      <c r="M417">
        <v>0.93</v>
      </c>
      <c r="N417">
        <v>0.1045</v>
      </c>
      <c r="O417">
        <v>1</v>
      </c>
      <c r="P417">
        <v>196</v>
      </c>
      <c r="Q417">
        <v>197</v>
      </c>
    </row>
    <row r="418" spans="1:17" x14ac:dyDescent="0.3">
      <c r="A418">
        <v>417</v>
      </c>
      <c r="B418" s="4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>
        <v>0.24</v>
      </c>
      <c r="L418">
        <v>0.2576</v>
      </c>
      <c r="M418">
        <v>0.93</v>
      </c>
      <c r="N418">
        <v>0.1045</v>
      </c>
      <c r="O418">
        <v>2</v>
      </c>
      <c r="P418">
        <v>107</v>
      </c>
      <c r="Q418">
        <v>109</v>
      </c>
    </row>
    <row r="419" spans="1:17" x14ac:dyDescent="0.3">
      <c r="A419">
        <v>418</v>
      </c>
      <c r="B419" s="4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>
        <v>0.26</v>
      </c>
      <c r="L419">
        <v>0.2727</v>
      </c>
      <c r="M419">
        <v>0.93</v>
      </c>
      <c r="N419">
        <v>0.1343</v>
      </c>
      <c r="O419">
        <v>1</v>
      </c>
      <c r="P419">
        <v>46</v>
      </c>
      <c r="Q419">
        <v>47</v>
      </c>
    </row>
    <row r="420" spans="1:17" x14ac:dyDescent="0.3">
      <c r="A420">
        <v>419</v>
      </c>
      <c r="B420" s="4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>
        <v>0.28000000000000003</v>
      </c>
      <c r="L420">
        <v>0.30299999999999999</v>
      </c>
      <c r="M420">
        <v>0.87</v>
      </c>
      <c r="N420">
        <v>8.9599999999999999E-2</v>
      </c>
      <c r="O420">
        <v>5</v>
      </c>
      <c r="P420">
        <v>47</v>
      </c>
      <c r="Q420">
        <v>52</v>
      </c>
    </row>
    <row r="421" spans="1:17" x14ac:dyDescent="0.3">
      <c r="A421">
        <v>420</v>
      </c>
      <c r="B421" s="4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>
        <v>0.3</v>
      </c>
      <c r="L421">
        <v>0.31819999999999998</v>
      </c>
      <c r="M421">
        <v>0.81</v>
      </c>
      <c r="N421">
        <v>8.9599999999999999E-2</v>
      </c>
      <c r="O421">
        <v>5</v>
      </c>
      <c r="P421">
        <v>65</v>
      </c>
      <c r="Q421">
        <v>70</v>
      </c>
    </row>
    <row r="422" spans="1:17" x14ac:dyDescent="0.3">
      <c r="A422">
        <v>421</v>
      </c>
      <c r="B422" s="4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>
        <v>0.4</v>
      </c>
      <c r="L422">
        <v>0.40910000000000002</v>
      </c>
      <c r="M422">
        <v>0.62</v>
      </c>
      <c r="N422">
        <v>0.28360000000000002</v>
      </c>
      <c r="O422">
        <v>11</v>
      </c>
      <c r="P422">
        <v>67</v>
      </c>
      <c r="Q422">
        <v>78</v>
      </c>
    </row>
    <row r="423" spans="1:17" x14ac:dyDescent="0.3">
      <c r="A423">
        <v>422</v>
      </c>
      <c r="B423" s="4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>
        <v>0.4</v>
      </c>
      <c r="L423">
        <v>0.40910000000000002</v>
      </c>
      <c r="M423">
        <v>0.57999999999999996</v>
      </c>
      <c r="N423">
        <v>0.25369999999999998</v>
      </c>
      <c r="O423">
        <v>7</v>
      </c>
      <c r="P423">
        <v>68</v>
      </c>
      <c r="Q423">
        <v>75</v>
      </c>
    </row>
    <row r="424" spans="1:17" x14ac:dyDescent="0.3">
      <c r="A424">
        <v>423</v>
      </c>
      <c r="B424" s="4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>
        <v>0.4</v>
      </c>
      <c r="L424">
        <v>0.40910000000000002</v>
      </c>
      <c r="M424">
        <v>0.54</v>
      </c>
      <c r="N424">
        <v>0.28360000000000002</v>
      </c>
      <c r="O424">
        <v>4</v>
      </c>
      <c r="P424">
        <v>78</v>
      </c>
      <c r="Q424">
        <v>82</v>
      </c>
    </row>
    <row r="425" spans="1:17" x14ac:dyDescent="0.3">
      <c r="A425">
        <v>424</v>
      </c>
      <c r="B425" s="4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>
        <v>0.38</v>
      </c>
      <c r="L425">
        <v>0.39389999999999997</v>
      </c>
      <c r="M425">
        <v>0.57999999999999996</v>
      </c>
      <c r="N425">
        <v>0.3881</v>
      </c>
      <c r="O425">
        <v>10</v>
      </c>
      <c r="P425">
        <v>94</v>
      </c>
      <c r="Q425">
        <v>104</v>
      </c>
    </row>
    <row r="426" spans="1:17" x14ac:dyDescent="0.3">
      <c r="A426">
        <v>425</v>
      </c>
      <c r="B426" s="4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>
        <v>0.36</v>
      </c>
      <c r="L426">
        <v>0.33329999999999999</v>
      </c>
      <c r="M426">
        <v>0.56999999999999995</v>
      </c>
      <c r="N426">
        <v>0.32840000000000003</v>
      </c>
      <c r="O426">
        <v>7</v>
      </c>
      <c r="P426">
        <v>190</v>
      </c>
      <c r="Q426">
        <v>197</v>
      </c>
    </row>
    <row r="427" spans="1:17" x14ac:dyDescent="0.3">
      <c r="A427">
        <v>426</v>
      </c>
      <c r="B427" s="4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>
        <v>0.34</v>
      </c>
      <c r="L427">
        <v>0.31819999999999998</v>
      </c>
      <c r="M427">
        <v>0.61</v>
      </c>
      <c r="N427">
        <v>0.28360000000000002</v>
      </c>
      <c r="O427">
        <v>5</v>
      </c>
      <c r="P427">
        <v>156</v>
      </c>
      <c r="Q427">
        <v>161</v>
      </c>
    </row>
    <row r="428" spans="1:17" x14ac:dyDescent="0.3">
      <c r="A428">
        <v>427</v>
      </c>
      <c r="B428" s="4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>
        <v>0.32</v>
      </c>
      <c r="L428">
        <v>0.28789999999999999</v>
      </c>
      <c r="M428">
        <v>0.56999999999999995</v>
      </c>
      <c r="N428">
        <v>0.41789999999999999</v>
      </c>
      <c r="O428">
        <v>4</v>
      </c>
      <c r="P428">
        <v>108</v>
      </c>
      <c r="Q428">
        <v>112</v>
      </c>
    </row>
    <row r="429" spans="1:17" x14ac:dyDescent="0.3">
      <c r="A429">
        <v>428</v>
      </c>
      <c r="B429" s="4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>
        <v>0.32</v>
      </c>
      <c r="L429">
        <v>0.30299999999999999</v>
      </c>
      <c r="M429">
        <v>0.49</v>
      </c>
      <c r="N429">
        <v>0.29849999999999999</v>
      </c>
      <c r="O429">
        <v>2</v>
      </c>
      <c r="P429">
        <v>74</v>
      </c>
      <c r="Q429">
        <v>76</v>
      </c>
    </row>
    <row r="430" spans="1:17" x14ac:dyDescent="0.3">
      <c r="A430">
        <v>429</v>
      </c>
      <c r="B430" s="4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>
        <v>0.32</v>
      </c>
      <c r="L430">
        <v>0.28789999999999999</v>
      </c>
      <c r="M430">
        <v>0.49</v>
      </c>
      <c r="N430">
        <v>0.41789999999999999</v>
      </c>
      <c r="O430">
        <v>4</v>
      </c>
      <c r="P430">
        <v>55</v>
      </c>
      <c r="Q430">
        <v>59</v>
      </c>
    </row>
    <row r="431" spans="1:17" x14ac:dyDescent="0.3">
      <c r="A431">
        <v>430</v>
      </c>
      <c r="B431" s="4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>
        <v>0.3</v>
      </c>
      <c r="L431">
        <v>0.30299999999999999</v>
      </c>
      <c r="M431">
        <v>0.52</v>
      </c>
      <c r="N431">
        <v>0.16420000000000001</v>
      </c>
      <c r="O431">
        <v>6</v>
      </c>
      <c r="P431">
        <v>53</v>
      </c>
      <c r="Q431">
        <v>59</v>
      </c>
    </row>
    <row r="432" spans="1:17" x14ac:dyDescent="0.3">
      <c r="A432">
        <v>431</v>
      </c>
      <c r="B432" s="4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>
        <v>0.3</v>
      </c>
      <c r="L432">
        <v>0.2727</v>
      </c>
      <c r="M432">
        <v>0.52</v>
      </c>
      <c r="N432">
        <v>0.4627</v>
      </c>
      <c r="O432">
        <v>1</v>
      </c>
      <c r="P432">
        <v>27</v>
      </c>
      <c r="Q432">
        <v>28</v>
      </c>
    </row>
    <row r="433" spans="1:17" x14ac:dyDescent="0.3">
      <c r="A433">
        <v>432</v>
      </c>
      <c r="B433" s="4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>
        <v>0.26</v>
      </c>
      <c r="L433">
        <v>0.2273</v>
      </c>
      <c r="M433">
        <v>0.56000000000000005</v>
      </c>
      <c r="N433">
        <v>0.3881</v>
      </c>
      <c r="O433">
        <v>5</v>
      </c>
      <c r="P433">
        <v>8</v>
      </c>
      <c r="Q433">
        <v>13</v>
      </c>
    </row>
    <row r="434" spans="1:17" x14ac:dyDescent="0.3">
      <c r="A434">
        <v>433</v>
      </c>
      <c r="B434" s="4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>
        <v>0.26</v>
      </c>
      <c r="L434">
        <v>0.2727</v>
      </c>
      <c r="M434">
        <v>0.56000000000000005</v>
      </c>
      <c r="N434">
        <v>0</v>
      </c>
      <c r="O434">
        <v>2</v>
      </c>
      <c r="P434">
        <v>3</v>
      </c>
      <c r="Q434">
        <v>5</v>
      </c>
    </row>
    <row r="435" spans="1:17" x14ac:dyDescent="0.3">
      <c r="A435">
        <v>434</v>
      </c>
      <c r="B435" s="4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>
        <v>0.26</v>
      </c>
      <c r="L435">
        <v>0.2727</v>
      </c>
      <c r="M435">
        <v>0.56000000000000005</v>
      </c>
      <c r="N435">
        <v>0</v>
      </c>
      <c r="O435">
        <v>0</v>
      </c>
      <c r="P435">
        <v>2</v>
      </c>
      <c r="Q435">
        <v>2</v>
      </c>
    </row>
    <row r="436" spans="1:17" x14ac:dyDescent="0.3">
      <c r="A436">
        <v>435</v>
      </c>
      <c r="B436" s="4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>
        <v>0.26</v>
      </c>
      <c r="L436">
        <v>0.2576</v>
      </c>
      <c r="M436">
        <v>0.56000000000000005</v>
      </c>
      <c r="N436">
        <v>0.16420000000000001</v>
      </c>
      <c r="O436">
        <v>0</v>
      </c>
      <c r="P436">
        <v>1</v>
      </c>
      <c r="Q436">
        <v>1</v>
      </c>
    </row>
    <row r="437" spans="1:17" x14ac:dyDescent="0.3">
      <c r="A437">
        <v>436</v>
      </c>
      <c r="B437" s="4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>
        <v>0.26</v>
      </c>
      <c r="L437">
        <v>0.2576</v>
      </c>
      <c r="M437">
        <v>0.56000000000000005</v>
      </c>
      <c r="N437">
        <v>0.16420000000000001</v>
      </c>
      <c r="O437">
        <v>0</v>
      </c>
      <c r="P437">
        <v>1</v>
      </c>
      <c r="Q437">
        <v>1</v>
      </c>
    </row>
    <row r="438" spans="1:17" x14ac:dyDescent="0.3">
      <c r="A438">
        <v>437</v>
      </c>
      <c r="B438" s="4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>
        <v>0.24</v>
      </c>
      <c r="L438">
        <v>0.2273</v>
      </c>
      <c r="M438">
        <v>0.6</v>
      </c>
      <c r="N438">
        <v>0.22389999999999999</v>
      </c>
      <c r="O438">
        <v>0</v>
      </c>
      <c r="P438">
        <v>6</v>
      </c>
      <c r="Q438">
        <v>6</v>
      </c>
    </row>
    <row r="439" spans="1:17" x14ac:dyDescent="0.3">
      <c r="A439">
        <v>438</v>
      </c>
      <c r="B439" s="4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>
        <v>0.22</v>
      </c>
      <c r="L439">
        <v>0.21210000000000001</v>
      </c>
      <c r="M439">
        <v>0.6</v>
      </c>
      <c r="N439">
        <v>0.22389999999999999</v>
      </c>
      <c r="O439">
        <v>0</v>
      </c>
      <c r="P439">
        <v>35</v>
      </c>
      <c r="Q439">
        <v>35</v>
      </c>
    </row>
    <row r="440" spans="1:17" x14ac:dyDescent="0.3">
      <c r="A440">
        <v>439</v>
      </c>
      <c r="B440" s="4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>
        <v>0.22</v>
      </c>
      <c r="L440">
        <v>0.21210000000000001</v>
      </c>
      <c r="M440">
        <v>0.55000000000000004</v>
      </c>
      <c r="N440">
        <v>0.22389999999999999</v>
      </c>
      <c r="O440">
        <v>1</v>
      </c>
      <c r="P440">
        <v>100</v>
      </c>
      <c r="Q440">
        <v>101</v>
      </c>
    </row>
    <row r="441" spans="1:17" x14ac:dyDescent="0.3">
      <c r="A441">
        <v>440</v>
      </c>
      <c r="B441" s="4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>
        <v>0.22</v>
      </c>
      <c r="L441">
        <v>0.21210000000000001</v>
      </c>
      <c r="M441">
        <v>0.55000000000000004</v>
      </c>
      <c r="N441">
        <v>0.28360000000000002</v>
      </c>
      <c r="O441">
        <v>2</v>
      </c>
      <c r="P441">
        <v>247</v>
      </c>
      <c r="Q441">
        <v>249</v>
      </c>
    </row>
    <row r="442" spans="1:17" x14ac:dyDescent="0.3">
      <c r="A442">
        <v>441</v>
      </c>
      <c r="B442" s="4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>
        <v>0.24</v>
      </c>
      <c r="L442">
        <v>0.2273</v>
      </c>
      <c r="M442">
        <v>0.52</v>
      </c>
      <c r="N442">
        <v>0.22389999999999999</v>
      </c>
      <c r="O442">
        <v>3</v>
      </c>
      <c r="P442">
        <v>140</v>
      </c>
      <c r="Q442">
        <v>143</v>
      </c>
    </row>
    <row r="443" spans="1:17" x14ac:dyDescent="0.3">
      <c r="A443">
        <v>442</v>
      </c>
      <c r="B443" s="4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>
        <v>0.26</v>
      </c>
      <c r="L443">
        <v>0.2273</v>
      </c>
      <c r="M443">
        <v>0.48</v>
      </c>
      <c r="N443">
        <v>0.29849999999999999</v>
      </c>
      <c r="O443">
        <v>1</v>
      </c>
      <c r="P443">
        <v>56</v>
      </c>
      <c r="Q443">
        <v>57</v>
      </c>
    </row>
    <row r="444" spans="1:17" x14ac:dyDescent="0.3">
      <c r="A444">
        <v>443</v>
      </c>
      <c r="B444" s="4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>
        <v>0.28000000000000003</v>
      </c>
      <c r="L444">
        <v>0.2727</v>
      </c>
      <c r="M444">
        <v>0.45</v>
      </c>
      <c r="N444">
        <v>0.16420000000000001</v>
      </c>
      <c r="O444">
        <v>5</v>
      </c>
      <c r="P444">
        <v>63</v>
      </c>
      <c r="Q444">
        <v>68</v>
      </c>
    </row>
    <row r="445" spans="1:17" x14ac:dyDescent="0.3">
      <c r="A445">
        <v>444</v>
      </c>
      <c r="B445" s="4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>
        <v>0.3</v>
      </c>
      <c r="L445">
        <v>0.33329999999999999</v>
      </c>
      <c r="M445">
        <v>0.42</v>
      </c>
      <c r="N445">
        <v>0</v>
      </c>
      <c r="O445">
        <v>7</v>
      </c>
      <c r="P445">
        <v>77</v>
      </c>
      <c r="Q445">
        <v>84</v>
      </c>
    </row>
    <row r="446" spans="1:17" x14ac:dyDescent="0.3">
      <c r="A446">
        <v>445</v>
      </c>
      <c r="B446" s="4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>
        <v>0.28000000000000003</v>
      </c>
      <c r="L446">
        <v>0.28789999999999999</v>
      </c>
      <c r="M446">
        <v>0.45</v>
      </c>
      <c r="N446">
        <v>0.1045</v>
      </c>
      <c r="O446">
        <v>12</v>
      </c>
      <c r="P446">
        <v>86</v>
      </c>
      <c r="Q446">
        <v>98</v>
      </c>
    </row>
    <row r="447" spans="1:17" x14ac:dyDescent="0.3">
      <c r="A447">
        <v>446</v>
      </c>
      <c r="B447" s="4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>
        <v>0.3</v>
      </c>
      <c r="L447">
        <v>0.30299999999999999</v>
      </c>
      <c r="M447">
        <v>0.45</v>
      </c>
      <c r="N447">
        <v>0.1343</v>
      </c>
      <c r="O447">
        <v>6</v>
      </c>
      <c r="P447">
        <v>75</v>
      </c>
      <c r="Q447">
        <v>81</v>
      </c>
    </row>
    <row r="448" spans="1:17" x14ac:dyDescent="0.3">
      <c r="A448">
        <v>447</v>
      </c>
      <c r="B448" s="4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>
        <v>0.32</v>
      </c>
      <c r="L448">
        <v>0.31819999999999998</v>
      </c>
      <c r="M448">
        <v>0.45</v>
      </c>
      <c r="N448">
        <v>0.19400000000000001</v>
      </c>
      <c r="O448">
        <v>8</v>
      </c>
      <c r="P448">
        <v>62</v>
      </c>
      <c r="Q448">
        <v>70</v>
      </c>
    </row>
    <row r="449" spans="1:17" x14ac:dyDescent="0.3">
      <c r="A449">
        <v>448</v>
      </c>
      <c r="B449" s="4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>
        <v>0.3</v>
      </c>
      <c r="L449">
        <v>0.30299999999999999</v>
      </c>
      <c r="M449">
        <v>0.49</v>
      </c>
      <c r="N449">
        <v>0.1343</v>
      </c>
      <c r="O449">
        <v>8</v>
      </c>
      <c r="P449">
        <v>83</v>
      </c>
      <c r="Q449">
        <v>91</v>
      </c>
    </row>
    <row r="450" spans="1:17" x14ac:dyDescent="0.3">
      <c r="A450">
        <v>449</v>
      </c>
      <c r="B450" s="4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>
        <v>0.3</v>
      </c>
      <c r="L450">
        <v>0.31819999999999998</v>
      </c>
      <c r="M450">
        <v>0.49</v>
      </c>
      <c r="N450">
        <v>0.1045</v>
      </c>
      <c r="O450">
        <v>8</v>
      </c>
      <c r="P450">
        <v>207</v>
      </c>
      <c r="Q450">
        <v>215</v>
      </c>
    </row>
    <row r="451" spans="1:17" x14ac:dyDescent="0.3">
      <c r="A451">
        <v>450</v>
      </c>
      <c r="B451" s="4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>
        <v>0.26</v>
      </c>
      <c r="L451">
        <v>0.2576</v>
      </c>
      <c r="M451">
        <v>0.56000000000000005</v>
      </c>
      <c r="N451">
        <v>0.19400000000000001</v>
      </c>
      <c r="O451">
        <v>1</v>
      </c>
      <c r="P451">
        <v>184</v>
      </c>
      <c r="Q451">
        <v>185</v>
      </c>
    </row>
    <row r="452" spans="1:17" x14ac:dyDescent="0.3">
      <c r="A452">
        <v>451</v>
      </c>
      <c r="B452" s="4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>
        <v>0.26</v>
      </c>
      <c r="L452">
        <v>0.2273</v>
      </c>
      <c r="M452">
        <v>0.56000000000000005</v>
      </c>
      <c r="N452">
        <v>0.32840000000000003</v>
      </c>
      <c r="O452">
        <v>6</v>
      </c>
      <c r="P452">
        <v>146</v>
      </c>
      <c r="Q452">
        <v>152</v>
      </c>
    </row>
    <row r="453" spans="1:17" x14ac:dyDescent="0.3">
      <c r="A453">
        <v>452</v>
      </c>
      <c r="B453" s="4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>
        <v>0.26</v>
      </c>
      <c r="L453">
        <v>0.2424</v>
      </c>
      <c r="M453">
        <v>0.6</v>
      </c>
      <c r="N453">
        <v>0.28360000000000002</v>
      </c>
      <c r="O453">
        <v>2</v>
      </c>
      <c r="P453">
        <v>124</v>
      </c>
      <c r="Q453">
        <v>126</v>
      </c>
    </row>
    <row r="454" spans="1:17" x14ac:dyDescent="0.3">
      <c r="A454">
        <v>453</v>
      </c>
      <c r="B454" s="4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>
        <v>0.24</v>
      </c>
      <c r="L454">
        <v>0.2273</v>
      </c>
      <c r="M454">
        <v>0.6</v>
      </c>
      <c r="N454">
        <v>0.25369999999999998</v>
      </c>
      <c r="O454">
        <v>3</v>
      </c>
      <c r="P454">
        <v>54</v>
      </c>
      <c r="Q454">
        <v>57</v>
      </c>
    </row>
    <row r="455" spans="1:17" x14ac:dyDescent="0.3">
      <c r="A455">
        <v>454</v>
      </c>
      <c r="B455" s="4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>
        <v>0.24</v>
      </c>
      <c r="L455">
        <v>0.21210000000000001</v>
      </c>
      <c r="M455">
        <v>0.65</v>
      </c>
      <c r="N455">
        <v>0.28360000000000002</v>
      </c>
      <c r="O455">
        <v>0</v>
      </c>
      <c r="P455">
        <v>56</v>
      </c>
      <c r="Q455">
        <v>56</v>
      </c>
    </row>
    <row r="456" spans="1:17" x14ac:dyDescent="0.3">
      <c r="A456">
        <v>455</v>
      </c>
      <c r="B456" s="4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>
        <v>0.24</v>
      </c>
      <c r="L456">
        <v>0.21210000000000001</v>
      </c>
      <c r="M456">
        <v>0.65</v>
      </c>
      <c r="N456">
        <v>0.32840000000000003</v>
      </c>
      <c r="O456">
        <v>3</v>
      </c>
      <c r="P456">
        <v>28</v>
      </c>
      <c r="Q456">
        <v>31</v>
      </c>
    </row>
    <row r="457" spans="1:17" x14ac:dyDescent="0.3">
      <c r="A457">
        <v>456</v>
      </c>
      <c r="B457" s="4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>
        <v>0.24</v>
      </c>
      <c r="L457">
        <v>0.2273</v>
      </c>
      <c r="M457">
        <v>0.7</v>
      </c>
      <c r="N457">
        <v>0.25369999999999998</v>
      </c>
      <c r="O457">
        <v>1</v>
      </c>
      <c r="P457">
        <v>20</v>
      </c>
      <c r="Q457">
        <v>21</v>
      </c>
    </row>
    <row r="458" spans="1:17" x14ac:dyDescent="0.3">
      <c r="A458">
        <v>457</v>
      </c>
      <c r="B458" s="4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>
        <v>0.24</v>
      </c>
      <c r="L458">
        <v>0.2273</v>
      </c>
      <c r="M458">
        <v>0.7</v>
      </c>
      <c r="N458">
        <v>0.25369999999999998</v>
      </c>
      <c r="O458">
        <v>0</v>
      </c>
      <c r="P458">
        <v>6</v>
      </c>
      <c r="Q458">
        <v>6</v>
      </c>
    </row>
    <row r="459" spans="1:17" x14ac:dyDescent="0.3">
      <c r="A459">
        <v>458</v>
      </c>
      <c r="B459" s="4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>
        <v>0.24</v>
      </c>
      <c r="L459">
        <v>0.2424</v>
      </c>
      <c r="M459">
        <v>0.75</v>
      </c>
      <c r="N459">
        <v>0.16420000000000001</v>
      </c>
      <c r="O459">
        <v>0</v>
      </c>
      <c r="P459">
        <v>2</v>
      </c>
      <c r="Q459">
        <v>2</v>
      </c>
    </row>
    <row r="460" spans="1:17" x14ac:dyDescent="0.3">
      <c r="A460">
        <v>459</v>
      </c>
      <c r="B460" s="4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>
        <v>0.22</v>
      </c>
      <c r="L460">
        <v>0.21210000000000001</v>
      </c>
      <c r="M460">
        <v>0.8</v>
      </c>
      <c r="N460">
        <v>0.29849999999999999</v>
      </c>
      <c r="O460">
        <v>0</v>
      </c>
      <c r="P460">
        <v>1</v>
      </c>
      <c r="Q460">
        <v>1</v>
      </c>
    </row>
    <row r="461" spans="1:17" x14ac:dyDescent="0.3">
      <c r="A461">
        <v>460</v>
      </c>
      <c r="B461" s="4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>
        <v>0.22</v>
      </c>
      <c r="L461">
        <v>0.2576</v>
      </c>
      <c r="M461">
        <v>0.87</v>
      </c>
      <c r="N461">
        <v>8.9599999999999999E-2</v>
      </c>
      <c r="O461">
        <v>0</v>
      </c>
      <c r="P461">
        <v>1</v>
      </c>
      <c r="Q461">
        <v>1</v>
      </c>
    </row>
    <row r="462" spans="1:17" x14ac:dyDescent="0.3">
      <c r="A462">
        <v>461</v>
      </c>
      <c r="B462" s="4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>
        <v>0.24</v>
      </c>
      <c r="L462">
        <v>0.19700000000000001</v>
      </c>
      <c r="M462">
        <v>0.6</v>
      </c>
      <c r="N462">
        <v>0.41789999999999999</v>
      </c>
      <c r="O462">
        <v>1</v>
      </c>
      <c r="P462">
        <v>4</v>
      </c>
      <c r="Q462">
        <v>5</v>
      </c>
    </row>
    <row r="463" spans="1:17" x14ac:dyDescent="0.3">
      <c r="A463">
        <v>462</v>
      </c>
      <c r="B463" s="4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>
        <v>0.22</v>
      </c>
      <c r="L463">
        <v>0.21210000000000001</v>
      </c>
      <c r="M463">
        <v>0.55000000000000004</v>
      </c>
      <c r="N463">
        <v>0.25369999999999998</v>
      </c>
      <c r="O463">
        <v>0</v>
      </c>
      <c r="P463">
        <v>27</v>
      </c>
      <c r="Q463">
        <v>27</v>
      </c>
    </row>
    <row r="464" spans="1:17" x14ac:dyDescent="0.3">
      <c r="A464">
        <v>463</v>
      </c>
      <c r="B464" s="4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>
        <v>0.2</v>
      </c>
      <c r="L464">
        <v>0.18179999999999999</v>
      </c>
      <c r="M464">
        <v>0.51</v>
      </c>
      <c r="N464">
        <v>0.28360000000000002</v>
      </c>
      <c r="O464">
        <v>2</v>
      </c>
      <c r="P464">
        <v>66</v>
      </c>
      <c r="Q464">
        <v>68</v>
      </c>
    </row>
    <row r="465" spans="1:17" x14ac:dyDescent="0.3">
      <c r="A465">
        <v>464</v>
      </c>
      <c r="B465" s="4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>
        <v>0.2</v>
      </c>
      <c r="L465">
        <v>0.18179999999999999</v>
      </c>
      <c r="M465">
        <v>0.47</v>
      </c>
      <c r="N465">
        <v>0.32840000000000003</v>
      </c>
      <c r="O465">
        <v>7</v>
      </c>
      <c r="P465">
        <v>210</v>
      </c>
      <c r="Q465">
        <v>217</v>
      </c>
    </row>
    <row r="466" spans="1:17" x14ac:dyDescent="0.3">
      <c r="A466">
        <v>465</v>
      </c>
      <c r="B466" s="4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>
        <v>0.2</v>
      </c>
      <c r="L466">
        <v>0.18179999999999999</v>
      </c>
      <c r="M466">
        <v>0.51</v>
      </c>
      <c r="N466">
        <v>0.35820000000000002</v>
      </c>
      <c r="O466">
        <v>7</v>
      </c>
      <c r="P466">
        <v>159</v>
      </c>
      <c r="Q466">
        <v>166</v>
      </c>
    </row>
    <row r="467" spans="1:17" x14ac:dyDescent="0.3">
      <c r="A467">
        <v>466</v>
      </c>
      <c r="B467" s="4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>
        <v>0.2</v>
      </c>
      <c r="L467">
        <v>0.16669999999999999</v>
      </c>
      <c r="M467">
        <v>0.47</v>
      </c>
      <c r="N467">
        <v>0.4627</v>
      </c>
      <c r="O467">
        <v>6</v>
      </c>
      <c r="P467">
        <v>57</v>
      </c>
      <c r="Q467">
        <v>63</v>
      </c>
    </row>
    <row r="468" spans="1:17" x14ac:dyDescent="0.3">
      <c r="A468">
        <v>467</v>
      </c>
      <c r="B468" s="4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>
        <v>0.22</v>
      </c>
      <c r="L468">
        <v>0.18179999999999999</v>
      </c>
      <c r="M468">
        <v>0.41</v>
      </c>
      <c r="N468">
        <v>0.4627</v>
      </c>
      <c r="O468">
        <v>6</v>
      </c>
      <c r="P468">
        <v>53</v>
      </c>
      <c r="Q468">
        <v>59</v>
      </c>
    </row>
    <row r="469" spans="1:17" x14ac:dyDescent="0.3">
      <c r="A469">
        <v>468</v>
      </c>
      <c r="B469" s="4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>
        <v>0.22</v>
      </c>
      <c r="L469">
        <v>0.18179999999999999</v>
      </c>
      <c r="M469">
        <v>0.27</v>
      </c>
      <c r="N469">
        <v>0.58209999999999995</v>
      </c>
      <c r="O469">
        <v>11</v>
      </c>
      <c r="P469">
        <v>67</v>
      </c>
      <c r="Q469">
        <v>78</v>
      </c>
    </row>
    <row r="470" spans="1:17" x14ac:dyDescent="0.3">
      <c r="A470">
        <v>469</v>
      </c>
      <c r="B470" s="4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>
        <v>0.2</v>
      </c>
      <c r="L470">
        <v>0.1515</v>
      </c>
      <c r="M470">
        <v>0.21</v>
      </c>
      <c r="N470">
        <v>0.58209999999999995</v>
      </c>
      <c r="O470">
        <v>8</v>
      </c>
      <c r="P470">
        <v>65</v>
      </c>
      <c r="Q470">
        <v>73</v>
      </c>
    </row>
    <row r="471" spans="1:17" x14ac:dyDescent="0.3">
      <c r="A471">
        <v>470</v>
      </c>
      <c r="B471" s="4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>
        <v>0.2</v>
      </c>
      <c r="L471">
        <v>0.1515</v>
      </c>
      <c r="M471">
        <v>0.25</v>
      </c>
      <c r="N471">
        <v>0.52239999999999998</v>
      </c>
      <c r="O471">
        <v>6</v>
      </c>
      <c r="P471">
        <v>56</v>
      </c>
      <c r="Q471">
        <v>62</v>
      </c>
    </row>
    <row r="472" spans="1:17" x14ac:dyDescent="0.3">
      <c r="A472">
        <v>471</v>
      </c>
      <c r="B472" s="4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>
        <v>0.16</v>
      </c>
      <c r="L472">
        <v>0.1212</v>
      </c>
      <c r="M472">
        <v>0.26</v>
      </c>
      <c r="N472">
        <v>0.44779999999999998</v>
      </c>
      <c r="O472">
        <v>4</v>
      </c>
      <c r="P472">
        <v>61</v>
      </c>
      <c r="Q472">
        <v>65</v>
      </c>
    </row>
    <row r="473" spans="1:17" x14ac:dyDescent="0.3">
      <c r="A473">
        <v>472</v>
      </c>
      <c r="B473" s="4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>
        <v>0.16</v>
      </c>
      <c r="L473">
        <v>0.13639999999999999</v>
      </c>
      <c r="M473">
        <v>0.26</v>
      </c>
      <c r="N473">
        <v>0.35820000000000002</v>
      </c>
      <c r="O473">
        <v>0</v>
      </c>
      <c r="P473">
        <v>97</v>
      </c>
      <c r="Q473">
        <v>97</v>
      </c>
    </row>
    <row r="474" spans="1:17" x14ac:dyDescent="0.3">
      <c r="A474">
        <v>473</v>
      </c>
      <c r="B474" s="4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>
        <v>0.14000000000000001</v>
      </c>
      <c r="L474">
        <v>0.1212</v>
      </c>
      <c r="M474">
        <v>0.28000000000000003</v>
      </c>
      <c r="N474">
        <v>0.35820000000000002</v>
      </c>
      <c r="O474">
        <v>10</v>
      </c>
      <c r="P474">
        <v>151</v>
      </c>
      <c r="Q474">
        <v>161</v>
      </c>
    </row>
    <row r="475" spans="1:17" x14ac:dyDescent="0.3">
      <c r="A475">
        <v>474</v>
      </c>
      <c r="B475" s="4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>
        <v>0.12</v>
      </c>
      <c r="L475">
        <v>0.1212</v>
      </c>
      <c r="M475">
        <v>0.3</v>
      </c>
      <c r="N475">
        <v>0.25369999999999998</v>
      </c>
      <c r="O475">
        <v>1</v>
      </c>
      <c r="P475">
        <v>119</v>
      </c>
      <c r="Q475">
        <v>120</v>
      </c>
    </row>
    <row r="476" spans="1:17" x14ac:dyDescent="0.3">
      <c r="A476">
        <v>475</v>
      </c>
      <c r="B476" s="4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>
        <v>0.12</v>
      </c>
      <c r="L476">
        <v>0.1061</v>
      </c>
      <c r="M476">
        <v>0.3</v>
      </c>
      <c r="N476">
        <v>0.32840000000000003</v>
      </c>
      <c r="O476">
        <v>3</v>
      </c>
      <c r="P476">
        <v>93</v>
      </c>
      <c r="Q476">
        <v>96</v>
      </c>
    </row>
    <row r="477" spans="1:17" x14ac:dyDescent="0.3">
      <c r="A477">
        <v>476</v>
      </c>
      <c r="B477" s="4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>
        <v>0.1</v>
      </c>
      <c r="L477">
        <v>7.5800000000000006E-2</v>
      </c>
      <c r="M477">
        <v>0.33</v>
      </c>
      <c r="N477">
        <v>0.41789999999999999</v>
      </c>
      <c r="O477">
        <v>1</v>
      </c>
      <c r="P477">
        <v>52</v>
      </c>
      <c r="Q477">
        <v>53</v>
      </c>
    </row>
    <row r="478" spans="1:17" x14ac:dyDescent="0.3">
      <c r="A478">
        <v>477</v>
      </c>
      <c r="B478" s="4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>
        <v>0.08</v>
      </c>
      <c r="L478">
        <v>7.5800000000000006E-2</v>
      </c>
      <c r="M478">
        <v>0.38</v>
      </c>
      <c r="N478">
        <v>0.28360000000000002</v>
      </c>
      <c r="O478">
        <v>0</v>
      </c>
      <c r="P478">
        <v>41</v>
      </c>
      <c r="Q478">
        <v>41</v>
      </c>
    </row>
    <row r="479" spans="1:17" x14ac:dyDescent="0.3">
      <c r="A479">
        <v>478</v>
      </c>
      <c r="B479" s="4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>
        <v>0.06</v>
      </c>
      <c r="L479">
        <v>3.0300000000000001E-2</v>
      </c>
      <c r="M479">
        <v>0.41</v>
      </c>
      <c r="N479">
        <v>0.3881</v>
      </c>
      <c r="O479">
        <v>1</v>
      </c>
      <c r="P479">
        <v>33</v>
      </c>
      <c r="Q479">
        <v>34</v>
      </c>
    </row>
    <row r="480" spans="1:17" x14ac:dyDescent="0.3">
      <c r="A480">
        <v>479</v>
      </c>
      <c r="B480" s="4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>
        <v>0.06</v>
      </c>
      <c r="L480">
        <v>4.5499999999999999E-2</v>
      </c>
      <c r="M480">
        <v>0.38</v>
      </c>
      <c r="N480">
        <v>0.32840000000000003</v>
      </c>
      <c r="O480">
        <v>0</v>
      </c>
      <c r="P480">
        <v>27</v>
      </c>
      <c r="Q480">
        <v>27</v>
      </c>
    </row>
    <row r="481" spans="1:17" x14ac:dyDescent="0.3">
      <c r="A481">
        <v>480</v>
      </c>
      <c r="B481" s="4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>
        <v>0.04</v>
      </c>
      <c r="L481">
        <v>3.0300000000000001E-2</v>
      </c>
      <c r="M481">
        <v>0.45</v>
      </c>
      <c r="N481">
        <v>0.25369999999999998</v>
      </c>
      <c r="O481">
        <v>0</v>
      </c>
      <c r="P481">
        <v>13</v>
      </c>
      <c r="Q481">
        <v>13</v>
      </c>
    </row>
    <row r="482" spans="1:17" x14ac:dyDescent="0.3">
      <c r="A482">
        <v>481</v>
      </c>
      <c r="B482" s="4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>
        <v>0.04</v>
      </c>
      <c r="L482">
        <v>0</v>
      </c>
      <c r="M482">
        <v>0.41</v>
      </c>
      <c r="N482">
        <v>0.3881</v>
      </c>
      <c r="O482">
        <v>3</v>
      </c>
      <c r="P482">
        <v>9</v>
      </c>
      <c r="Q482">
        <v>12</v>
      </c>
    </row>
    <row r="483" spans="1:17" x14ac:dyDescent="0.3">
      <c r="A483">
        <v>482</v>
      </c>
      <c r="B483" s="4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>
        <v>0.04</v>
      </c>
      <c r="L483">
        <v>3.0300000000000001E-2</v>
      </c>
      <c r="M483">
        <v>0.41</v>
      </c>
      <c r="N483">
        <v>0.25369999999999998</v>
      </c>
      <c r="O483">
        <v>0</v>
      </c>
      <c r="P483">
        <v>11</v>
      </c>
      <c r="Q483">
        <v>11</v>
      </c>
    </row>
    <row r="484" spans="1:17" x14ac:dyDescent="0.3">
      <c r="A484">
        <v>483</v>
      </c>
      <c r="B484" s="4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>
        <v>0.04</v>
      </c>
      <c r="L484">
        <v>3.0300000000000001E-2</v>
      </c>
      <c r="M484">
        <v>0.41</v>
      </c>
      <c r="N484">
        <v>0.28360000000000002</v>
      </c>
      <c r="O484">
        <v>1</v>
      </c>
      <c r="P484">
        <v>6</v>
      </c>
      <c r="Q484">
        <v>7</v>
      </c>
    </row>
    <row r="485" spans="1:17" x14ac:dyDescent="0.3">
      <c r="A485">
        <v>484</v>
      </c>
      <c r="B485" s="4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>
        <v>0.02</v>
      </c>
      <c r="L485">
        <v>1.52E-2</v>
      </c>
      <c r="M485">
        <v>0.48</v>
      </c>
      <c r="N485">
        <v>0.29849999999999999</v>
      </c>
      <c r="O485">
        <v>0</v>
      </c>
      <c r="P485">
        <v>3</v>
      </c>
      <c r="Q485">
        <v>3</v>
      </c>
    </row>
    <row r="486" spans="1:17" x14ac:dyDescent="0.3">
      <c r="A486">
        <v>485</v>
      </c>
      <c r="B486" s="4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>
        <v>0.02</v>
      </c>
      <c r="L486">
        <v>3.0300000000000001E-2</v>
      </c>
      <c r="M486">
        <v>0.44</v>
      </c>
      <c r="N486">
        <v>0.22389999999999999</v>
      </c>
      <c r="O486">
        <v>0</v>
      </c>
      <c r="P486">
        <v>2</v>
      </c>
      <c r="Q486">
        <v>2</v>
      </c>
    </row>
    <row r="487" spans="1:17" x14ac:dyDescent="0.3">
      <c r="A487">
        <v>486</v>
      </c>
      <c r="B487" s="4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>
        <v>0.02</v>
      </c>
      <c r="L487">
        <v>1.52E-2</v>
      </c>
      <c r="M487">
        <v>0.44</v>
      </c>
      <c r="N487">
        <v>0.28360000000000002</v>
      </c>
      <c r="O487">
        <v>0</v>
      </c>
      <c r="P487">
        <v>8</v>
      </c>
      <c r="Q487">
        <v>8</v>
      </c>
    </row>
    <row r="488" spans="1:17" x14ac:dyDescent="0.3">
      <c r="A488">
        <v>487</v>
      </c>
      <c r="B488" s="4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>
        <v>0.02</v>
      </c>
      <c r="L488">
        <v>0</v>
      </c>
      <c r="M488">
        <v>0.44</v>
      </c>
      <c r="N488">
        <v>0.32840000000000003</v>
      </c>
      <c r="O488">
        <v>1</v>
      </c>
      <c r="P488">
        <v>26</v>
      </c>
      <c r="Q488">
        <v>27</v>
      </c>
    </row>
    <row r="489" spans="1:17" x14ac:dyDescent="0.3">
      <c r="A489">
        <v>488</v>
      </c>
      <c r="B489" s="4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>
        <v>0.04</v>
      </c>
      <c r="L489">
        <v>3.0300000000000001E-2</v>
      </c>
      <c r="M489">
        <v>0.41</v>
      </c>
      <c r="N489">
        <v>0.25369999999999998</v>
      </c>
      <c r="O489">
        <v>3</v>
      </c>
      <c r="P489">
        <v>37</v>
      </c>
      <c r="Q489">
        <v>40</v>
      </c>
    </row>
    <row r="490" spans="1:17" x14ac:dyDescent="0.3">
      <c r="A490">
        <v>489</v>
      </c>
      <c r="B490" s="4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>
        <v>0.04</v>
      </c>
      <c r="L490">
        <v>6.0600000000000001E-2</v>
      </c>
      <c r="M490">
        <v>0.41</v>
      </c>
      <c r="N490">
        <v>0.16420000000000001</v>
      </c>
      <c r="O490">
        <v>3</v>
      </c>
      <c r="P490">
        <v>50</v>
      </c>
      <c r="Q490">
        <v>53</v>
      </c>
    </row>
    <row r="491" spans="1:17" x14ac:dyDescent="0.3">
      <c r="A491">
        <v>490</v>
      </c>
      <c r="B491" s="4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>
        <v>0.06</v>
      </c>
      <c r="L491">
        <v>7.5800000000000006E-2</v>
      </c>
      <c r="M491">
        <v>0.38</v>
      </c>
      <c r="N491">
        <v>0.1343</v>
      </c>
      <c r="O491">
        <v>4</v>
      </c>
      <c r="P491">
        <v>59</v>
      </c>
      <c r="Q491">
        <v>63</v>
      </c>
    </row>
    <row r="492" spans="1:17" x14ac:dyDescent="0.3">
      <c r="A492">
        <v>491</v>
      </c>
      <c r="B492" s="4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>
        <v>0.06</v>
      </c>
      <c r="L492">
        <v>0.1061</v>
      </c>
      <c r="M492">
        <v>0.38</v>
      </c>
      <c r="N492">
        <v>0.1045</v>
      </c>
      <c r="O492">
        <v>10</v>
      </c>
      <c r="P492">
        <v>60</v>
      </c>
      <c r="Q492">
        <v>70</v>
      </c>
    </row>
    <row r="493" spans="1:17" x14ac:dyDescent="0.3">
      <c r="A493">
        <v>492</v>
      </c>
      <c r="B493" s="4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>
        <v>0.08</v>
      </c>
      <c r="L493">
        <v>0.16669999999999999</v>
      </c>
      <c r="M493">
        <v>0.35</v>
      </c>
      <c r="N493">
        <v>0</v>
      </c>
      <c r="O493">
        <v>12</v>
      </c>
      <c r="P493">
        <v>72</v>
      </c>
      <c r="Q493">
        <v>84</v>
      </c>
    </row>
    <row r="494" spans="1:17" x14ac:dyDescent="0.3">
      <c r="A494">
        <v>493</v>
      </c>
      <c r="B494" s="4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>
        <v>0.1</v>
      </c>
      <c r="L494">
        <v>0.13639999999999999</v>
      </c>
      <c r="M494">
        <v>0.33</v>
      </c>
      <c r="N494">
        <v>0.1045</v>
      </c>
      <c r="O494">
        <v>11</v>
      </c>
      <c r="P494">
        <v>64</v>
      </c>
      <c r="Q494">
        <v>75</v>
      </c>
    </row>
    <row r="495" spans="1:17" x14ac:dyDescent="0.3">
      <c r="A495">
        <v>494</v>
      </c>
      <c r="B495" s="4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>
        <v>0.12</v>
      </c>
      <c r="L495">
        <v>0.1515</v>
      </c>
      <c r="M495">
        <v>0.28000000000000003</v>
      </c>
      <c r="N495">
        <v>0</v>
      </c>
      <c r="O495">
        <v>10</v>
      </c>
      <c r="P495">
        <v>93</v>
      </c>
      <c r="Q495">
        <v>103</v>
      </c>
    </row>
    <row r="496" spans="1:17" x14ac:dyDescent="0.3">
      <c r="A496">
        <v>495</v>
      </c>
      <c r="B496" s="4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>
        <v>0.12</v>
      </c>
      <c r="L496">
        <v>0.13639999999999999</v>
      </c>
      <c r="M496">
        <v>0.28000000000000003</v>
      </c>
      <c r="N496">
        <v>0.19400000000000001</v>
      </c>
      <c r="O496">
        <v>11</v>
      </c>
      <c r="P496">
        <v>72</v>
      </c>
      <c r="Q496">
        <v>83</v>
      </c>
    </row>
    <row r="497" spans="1:17" x14ac:dyDescent="0.3">
      <c r="A497">
        <v>496</v>
      </c>
      <c r="B497" s="4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>
        <v>0.12</v>
      </c>
      <c r="L497">
        <v>0.19700000000000001</v>
      </c>
      <c r="M497">
        <v>0.28000000000000003</v>
      </c>
      <c r="N497">
        <v>0</v>
      </c>
      <c r="O497">
        <v>8</v>
      </c>
      <c r="P497">
        <v>59</v>
      </c>
      <c r="Q497">
        <v>67</v>
      </c>
    </row>
    <row r="498" spans="1:17" x14ac:dyDescent="0.3">
      <c r="A498">
        <v>497</v>
      </c>
      <c r="B498" s="4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>
        <v>0.08</v>
      </c>
      <c r="L498">
        <v>9.0899999999999995E-2</v>
      </c>
      <c r="M498">
        <v>0.35</v>
      </c>
      <c r="N498">
        <v>0.19400000000000001</v>
      </c>
      <c r="O498">
        <v>0</v>
      </c>
      <c r="P498">
        <v>54</v>
      </c>
      <c r="Q498">
        <v>54</v>
      </c>
    </row>
    <row r="499" spans="1:17" x14ac:dyDescent="0.3">
      <c r="A499">
        <v>498</v>
      </c>
      <c r="B499" s="4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>
        <v>0.08</v>
      </c>
      <c r="L499">
        <v>0.1061</v>
      </c>
      <c r="M499">
        <v>0.35</v>
      </c>
      <c r="N499">
        <v>0.1343</v>
      </c>
      <c r="O499">
        <v>6</v>
      </c>
      <c r="P499">
        <v>53</v>
      </c>
      <c r="Q499">
        <v>59</v>
      </c>
    </row>
    <row r="500" spans="1:17" x14ac:dyDescent="0.3">
      <c r="A500">
        <v>499</v>
      </c>
      <c r="B500" s="4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>
        <v>0.06</v>
      </c>
      <c r="L500">
        <v>7.5800000000000006E-2</v>
      </c>
      <c r="M500">
        <v>0.45</v>
      </c>
      <c r="N500">
        <v>0.16420000000000001</v>
      </c>
      <c r="O500">
        <v>1</v>
      </c>
      <c r="P500">
        <v>44</v>
      </c>
      <c r="Q500">
        <v>45</v>
      </c>
    </row>
    <row r="501" spans="1:17" x14ac:dyDescent="0.3">
      <c r="A501">
        <v>500</v>
      </c>
      <c r="B501" s="4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>
        <v>0.06</v>
      </c>
      <c r="L501">
        <v>0.1061</v>
      </c>
      <c r="M501">
        <v>0.41</v>
      </c>
      <c r="N501">
        <v>8.9599999999999999E-2</v>
      </c>
      <c r="O501">
        <v>0</v>
      </c>
      <c r="P501">
        <v>39</v>
      </c>
      <c r="Q501">
        <v>39</v>
      </c>
    </row>
    <row r="502" spans="1:17" x14ac:dyDescent="0.3">
      <c r="A502">
        <v>501</v>
      </c>
      <c r="B502" s="4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>
        <v>0.06</v>
      </c>
      <c r="L502">
        <v>0.1515</v>
      </c>
      <c r="M502">
        <v>0.49</v>
      </c>
      <c r="N502">
        <v>0</v>
      </c>
      <c r="O502">
        <v>7</v>
      </c>
      <c r="P502">
        <v>23</v>
      </c>
      <c r="Q502">
        <v>30</v>
      </c>
    </row>
    <row r="503" spans="1:17" x14ac:dyDescent="0.3">
      <c r="A503">
        <v>502</v>
      </c>
      <c r="B503" s="4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>
        <v>0.04</v>
      </c>
      <c r="L503">
        <v>7.5800000000000006E-2</v>
      </c>
      <c r="M503">
        <v>0.56999999999999995</v>
      </c>
      <c r="N503">
        <v>0.1045</v>
      </c>
      <c r="O503">
        <v>2</v>
      </c>
      <c r="P503">
        <v>31</v>
      </c>
      <c r="Q503">
        <v>33</v>
      </c>
    </row>
    <row r="504" spans="1:17" x14ac:dyDescent="0.3">
      <c r="A504">
        <v>503</v>
      </c>
      <c r="B504" s="4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0.04</v>
      </c>
      <c r="L504">
        <v>7.5800000000000006E-2</v>
      </c>
      <c r="M504">
        <v>0.56999999999999995</v>
      </c>
      <c r="N504">
        <v>0.1045</v>
      </c>
      <c r="O504">
        <v>2</v>
      </c>
      <c r="P504">
        <v>20</v>
      </c>
      <c r="Q504">
        <v>22</v>
      </c>
    </row>
    <row r="505" spans="1:17" x14ac:dyDescent="0.3">
      <c r="A505">
        <v>504</v>
      </c>
      <c r="B505" s="4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0.04</v>
      </c>
      <c r="L505">
        <v>7.5800000000000006E-2</v>
      </c>
      <c r="M505">
        <v>0.56999999999999995</v>
      </c>
      <c r="N505">
        <v>0.1045</v>
      </c>
      <c r="O505">
        <v>1</v>
      </c>
      <c r="P505">
        <v>12</v>
      </c>
      <c r="Q505">
        <v>13</v>
      </c>
    </row>
    <row r="506" spans="1:17" x14ac:dyDescent="0.3">
      <c r="A506">
        <v>505</v>
      </c>
      <c r="B506" s="4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0.02</v>
      </c>
      <c r="L506">
        <v>6.0600000000000001E-2</v>
      </c>
      <c r="M506">
        <v>0.62</v>
      </c>
      <c r="N506">
        <v>0.1343</v>
      </c>
      <c r="O506">
        <v>3</v>
      </c>
      <c r="P506">
        <v>15</v>
      </c>
      <c r="Q506">
        <v>18</v>
      </c>
    </row>
    <row r="507" spans="1:17" x14ac:dyDescent="0.3">
      <c r="A507">
        <v>506</v>
      </c>
      <c r="B507" s="4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>
        <v>0.02</v>
      </c>
      <c r="L507">
        <v>6.0600000000000001E-2</v>
      </c>
      <c r="M507">
        <v>0.62</v>
      </c>
      <c r="N507">
        <v>0.1343</v>
      </c>
      <c r="O507">
        <v>1</v>
      </c>
      <c r="P507">
        <v>4</v>
      </c>
      <c r="Q507">
        <v>5</v>
      </c>
    </row>
    <row r="508" spans="1:17" x14ac:dyDescent="0.3">
      <c r="A508">
        <v>507</v>
      </c>
      <c r="B508" s="4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>
        <v>0.04</v>
      </c>
      <c r="L508">
        <v>7.5800000000000006E-2</v>
      </c>
      <c r="M508">
        <v>0.56999999999999995</v>
      </c>
      <c r="N508">
        <v>0.1045</v>
      </c>
      <c r="O508">
        <v>0</v>
      </c>
      <c r="P508">
        <v>3</v>
      </c>
      <c r="Q508">
        <v>3</v>
      </c>
    </row>
    <row r="509" spans="1:17" x14ac:dyDescent="0.3">
      <c r="A509">
        <v>508</v>
      </c>
      <c r="B509" s="4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>
        <v>0.04</v>
      </c>
      <c r="L509">
        <v>7.5800000000000006E-2</v>
      </c>
      <c r="M509">
        <v>0.56999999999999995</v>
      </c>
      <c r="N509">
        <v>0.1045</v>
      </c>
      <c r="O509">
        <v>0</v>
      </c>
      <c r="P509">
        <v>1</v>
      </c>
      <c r="Q509">
        <v>1</v>
      </c>
    </row>
    <row r="510" spans="1:17" x14ac:dyDescent="0.3">
      <c r="A510">
        <v>509</v>
      </c>
      <c r="B510" s="4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0.08</v>
      </c>
      <c r="L510">
        <v>0.1061</v>
      </c>
      <c r="M510">
        <v>0.57999999999999996</v>
      </c>
      <c r="N510">
        <v>0.16420000000000001</v>
      </c>
      <c r="O510">
        <v>1</v>
      </c>
      <c r="P510">
        <v>1</v>
      </c>
      <c r="Q510">
        <v>2</v>
      </c>
    </row>
    <row r="511" spans="1:17" x14ac:dyDescent="0.3">
      <c r="A511">
        <v>510</v>
      </c>
      <c r="B511" s="4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>
        <v>0.06</v>
      </c>
      <c r="L511">
        <v>7.5800000000000006E-2</v>
      </c>
      <c r="M511">
        <v>0.62</v>
      </c>
      <c r="N511">
        <v>0.16420000000000001</v>
      </c>
      <c r="O511">
        <v>2</v>
      </c>
      <c r="P511">
        <v>17</v>
      </c>
      <c r="Q511">
        <v>19</v>
      </c>
    </row>
    <row r="512" spans="1:17" x14ac:dyDescent="0.3">
      <c r="A512">
        <v>511</v>
      </c>
      <c r="B512" s="4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>
        <v>0.1</v>
      </c>
      <c r="L512">
        <v>7.5800000000000006E-2</v>
      </c>
      <c r="M512">
        <v>0.54</v>
      </c>
      <c r="N512">
        <v>0.35820000000000002</v>
      </c>
      <c r="O512">
        <v>3</v>
      </c>
      <c r="P512">
        <v>25</v>
      </c>
      <c r="Q512">
        <v>28</v>
      </c>
    </row>
    <row r="513" spans="1:17" x14ac:dyDescent="0.3">
      <c r="A513">
        <v>512</v>
      </c>
      <c r="B513" s="4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>
        <v>0.14000000000000001</v>
      </c>
      <c r="L513">
        <v>0.1061</v>
      </c>
      <c r="M513">
        <v>0.46</v>
      </c>
      <c r="N513">
        <v>0.3881</v>
      </c>
      <c r="O513">
        <v>7</v>
      </c>
      <c r="P513">
        <v>51</v>
      </c>
      <c r="Q513">
        <v>58</v>
      </c>
    </row>
    <row r="514" spans="1:17" x14ac:dyDescent="0.3">
      <c r="A514">
        <v>513</v>
      </c>
      <c r="B514" s="4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>
        <v>0.14000000000000001</v>
      </c>
      <c r="L514">
        <v>0.13639999999999999</v>
      </c>
      <c r="M514">
        <v>0.43</v>
      </c>
      <c r="N514">
        <v>0.22389999999999999</v>
      </c>
      <c r="O514">
        <v>22</v>
      </c>
      <c r="P514">
        <v>77</v>
      </c>
      <c r="Q514">
        <v>99</v>
      </c>
    </row>
    <row r="515" spans="1:17" x14ac:dyDescent="0.3">
      <c r="A515">
        <v>514</v>
      </c>
      <c r="B515" s="4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>
        <v>0.16</v>
      </c>
      <c r="L515">
        <v>0.1212</v>
      </c>
      <c r="M515">
        <v>0.37</v>
      </c>
      <c r="N515">
        <v>0.4627</v>
      </c>
      <c r="O515">
        <v>24</v>
      </c>
      <c r="P515">
        <v>92</v>
      </c>
      <c r="Q515">
        <v>116</v>
      </c>
    </row>
    <row r="516" spans="1:17" x14ac:dyDescent="0.3">
      <c r="A516">
        <v>515</v>
      </c>
      <c r="B516" s="4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>
        <v>0.14000000000000001</v>
      </c>
      <c r="L516">
        <v>0.1061</v>
      </c>
      <c r="M516">
        <v>0.33</v>
      </c>
      <c r="N516">
        <v>0.3881</v>
      </c>
      <c r="O516">
        <v>12</v>
      </c>
      <c r="P516">
        <v>75</v>
      </c>
      <c r="Q516">
        <v>87</v>
      </c>
    </row>
    <row r="517" spans="1:17" x14ac:dyDescent="0.3">
      <c r="A517">
        <v>516</v>
      </c>
      <c r="B517" s="4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>
        <v>0.16</v>
      </c>
      <c r="L517">
        <v>0.13639999999999999</v>
      </c>
      <c r="M517">
        <v>0.28000000000000003</v>
      </c>
      <c r="N517">
        <v>0.35820000000000002</v>
      </c>
      <c r="O517">
        <v>17</v>
      </c>
      <c r="P517">
        <v>93</v>
      </c>
      <c r="Q517">
        <v>110</v>
      </c>
    </row>
    <row r="518" spans="1:17" x14ac:dyDescent="0.3">
      <c r="A518">
        <v>517</v>
      </c>
      <c r="B518" s="4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>
        <v>0.16</v>
      </c>
      <c r="L518">
        <v>0.13639999999999999</v>
      </c>
      <c r="M518">
        <v>0.28000000000000003</v>
      </c>
      <c r="N518">
        <v>0.35820000000000002</v>
      </c>
      <c r="O518">
        <v>13</v>
      </c>
      <c r="P518">
        <v>64</v>
      </c>
      <c r="Q518">
        <v>77</v>
      </c>
    </row>
    <row r="519" spans="1:17" x14ac:dyDescent="0.3">
      <c r="A519">
        <v>518</v>
      </c>
      <c r="B519" s="4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>
        <v>0.16</v>
      </c>
      <c r="L519">
        <v>0.13639999999999999</v>
      </c>
      <c r="M519">
        <v>0.26</v>
      </c>
      <c r="N519">
        <v>0.32840000000000003</v>
      </c>
      <c r="O519">
        <v>9</v>
      </c>
      <c r="P519">
        <v>56</v>
      </c>
      <c r="Q519">
        <v>65</v>
      </c>
    </row>
    <row r="520" spans="1:17" x14ac:dyDescent="0.3">
      <c r="A520">
        <v>519</v>
      </c>
      <c r="B520" s="4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>
        <v>0.14000000000000001</v>
      </c>
      <c r="L520">
        <v>0.1061</v>
      </c>
      <c r="M520">
        <v>0.26</v>
      </c>
      <c r="N520">
        <v>0.3881</v>
      </c>
      <c r="O520">
        <v>5</v>
      </c>
      <c r="P520">
        <v>50</v>
      </c>
      <c r="Q520">
        <v>55</v>
      </c>
    </row>
    <row r="521" spans="1:17" x14ac:dyDescent="0.3">
      <c r="A521">
        <v>520</v>
      </c>
      <c r="B521" s="4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>
        <v>0.12</v>
      </c>
      <c r="L521">
        <v>0.1212</v>
      </c>
      <c r="M521">
        <v>0.3</v>
      </c>
      <c r="N521">
        <v>0.25369999999999998</v>
      </c>
      <c r="O521">
        <v>5</v>
      </c>
      <c r="P521">
        <v>44</v>
      </c>
      <c r="Q521">
        <v>49</v>
      </c>
    </row>
    <row r="522" spans="1:17" x14ac:dyDescent="0.3">
      <c r="A522">
        <v>521</v>
      </c>
      <c r="B522" s="4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>
        <v>0.12</v>
      </c>
      <c r="L522">
        <v>0.1212</v>
      </c>
      <c r="M522">
        <v>0.3</v>
      </c>
      <c r="N522">
        <v>0.28360000000000002</v>
      </c>
      <c r="O522">
        <v>5</v>
      </c>
      <c r="P522">
        <v>45</v>
      </c>
      <c r="Q522">
        <v>50</v>
      </c>
    </row>
    <row r="523" spans="1:17" x14ac:dyDescent="0.3">
      <c r="A523">
        <v>522</v>
      </c>
      <c r="B523" s="4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>
        <v>0.1</v>
      </c>
      <c r="L523">
        <v>0.1061</v>
      </c>
      <c r="M523">
        <v>0.36</v>
      </c>
      <c r="N523">
        <v>0.25369999999999998</v>
      </c>
      <c r="O523">
        <v>4</v>
      </c>
      <c r="P523">
        <v>31</v>
      </c>
      <c r="Q523">
        <v>35</v>
      </c>
    </row>
    <row r="524" spans="1:17" x14ac:dyDescent="0.3">
      <c r="A524">
        <v>523</v>
      </c>
      <c r="B524" s="4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>
        <v>0.1</v>
      </c>
      <c r="L524">
        <v>0.1061</v>
      </c>
      <c r="M524">
        <v>0.36</v>
      </c>
      <c r="N524">
        <v>0.19400000000000001</v>
      </c>
      <c r="O524">
        <v>5</v>
      </c>
      <c r="P524">
        <v>20</v>
      </c>
      <c r="Q524">
        <v>25</v>
      </c>
    </row>
    <row r="525" spans="1:17" x14ac:dyDescent="0.3">
      <c r="A525">
        <v>524</v>
      </c>
      <c r="B525" s="4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>
        <v>0.08</v>
      </c>
      <c r="L525">
        <v>9.0899999999999995E-2</v>
      </c>
      <c r="M525">
        <v>0.38</v>
      </c>
      <c r="N525">
        <v>0.19400000000000001</v>
      </c>
      <c r="O525">
        <v>5</v>
      </c>
      <c r="P525">
        <v>23</v>
      </c>
      <c r="Q525">
        <v>28</v>
      </c>
    </row>
    <row r="526" spans="1:17" x14ac:dyDescent="0.3">
      <c r="A526">
        <v>525</v>
      </c>
      <c r="B526" s="4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>
        <v>0.06</v>
      </c>
      <c r="L526">
        <v>6.0600000000000001E-2</v>
      </c>
      <c r="M526">
        <v>0.41</v>
      </c>
      <c r="N526">
        <v>0.22389999999999999</v>
      </c>
      <c r="O526">
        <v>4</v>
      </c>
      <c r="P526">
        <v>17</v>
      </c>
      <c r="Q526">
        <v>21</v>
      </c>
    </row>
    <row r="527" spans="1:17" x14ac:dyDescent="0.3">
      <c r="A527">
        <v>526</v>
      </c>
      <c r="B527" s="4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0.06</v>
      </c>
      <c r="L527">
        <v>6.0600000000000001E-2</v>
      </c>
      <c r="M527">
        <v>0.41</v>
      </c>
      <c r="N527">
        <v>0.19400000000000001</v>
      </c>
      <c r="O527">
        <v>0</v>
      </c>
      <c r="P527">
        <v>7</v>
      </c>
      <c r="Q527">
        <v>7</v>
      </c>
    </row>
    <row r="528" spans="1:17" x14ac:dyDescent="0.3">
      <c r="A528">
        <v>527</v>
      </c>
      <c r="B528" s="4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0.04</v>
      </c>
      <c r="L528">
        <v>4.5499999999999999E-2</v>
      </c>
      <c r="M528">
        <v>0.45</v>
      </c>
      <c r="N528">
        <v>0.19400000000000001</v>
      </c>
      <c r="O528">
        <v>0</v>
      </c>
      <c r="P528">
        <v>1</v>
      </c>
      <c r="Q528">
        <v>1</v>
      </c>
    </row>
    <row r="529" spans="1:17" x14ac:dyDescent="0.3">
      <c r="A529">
        <v>528</v>
      </c>
      <c r="B529" s="4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>
        <v>0.04</v>
      </c>
      <c r="L529">
        <v>3.0300000000000001E-2</v>
      </c>
      <c r="M529">
        <v>0.45</v>
      </c>
      <c r="N529">
        <v>0.25369999999999998</v>
      </c>
      <c r="O529">
        <v>0</v>
      </c>
      <c r="P529">
        <v>1</v>
      </c>
      <c r="Q529">
        <v>1</v>
      </c>
    </row>
    <row r="530" spans="1:17" x14ac:dyDescent="0.3">
      <c r="A530">
        <v>529</v>
      </c>
      <c r="B530" s="4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0.02</v>
      </c>
      <c r="L530">
        <v>6.0600000000000001E-2</v>
      </c>
      <c r="M530">
        <v>0.48</v>
      </c>
      <c r="N530">
        <v>0.1343</v>
      </c>
      <c r="O530">
        <v>0</v>
      </c>
      <c r="P530">
        <v>1</v>
      </c>
      <c r="Q530">
        <v>1</v>
      </c>
    </row>
    <row r="531" spans="1:17" x14ac:dyDescent="0.3">
      <c r="A531">
        <v>530</v>
      </c>
      <c r="B531" s="4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0.02</v>
      </c>
      <c r="L531">
        <v>6.0600000000000001E-2</v>
      </c>
      <c r="M531">
        <v>0.48</v>
      </c>
      <c r="N531">
        <v>0.1343</v>
      </c>
      <c r="O531">
        <v>0</v>
      </c>
      <c r="P531">
        <v>5</v>
      </c>
      <c r="Q531">
        <v>5</v>
      </c>
    </row>
    <row r="532" spans="1:17" x14ac:dyDescent="0.3">
      <c r="A532">
        <v>531</v>
      </c>
      <c r="B532" s="4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0.02</v>
      </c>
      <c r="L532">
        <v>7.5800000000000006E-2</v>
      </c>
      <c r="M532">
        <v>0.48</v>
      </c>
      <c r="N532">
        <v>8.9599999999999999E-2</v>
      </c>
      <c r="O532">
        <v>0</v>
      </c>
      <c r="P532">
        <v>15</v>
      </c>
      <c r="Q532">
        <v>15</v>
      </c>
    </row>
    <row r="533" spans="1:17" x14ac:dyDescent="0.3">
      <c r="A533">
        <v>532</v>
      </c>
      <c r="B533" s="4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>
        <v>0.02</v>
      </c>
      <c r="L533">
        <v>0.1212</v>
      </c>
      <c r="M533">
        <v>0.48</v>
      </c>
      <c r="N533">
        <v>0</v>
      </c>
      <c r="O533">
        <v>5</v>
      </c>
      <c r="P533">
        <v>79</v>
      </c>
      <c r="Q533">
        <v>84</v>
      </c>
    </row>
    <row r="534" spans="1:17" x14ac:dyDescent="0.3">
      <c r="A534">
        <v>533</v>
      </c>
      <c r="B534" s="4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>
        <v>0.04</v>
      </c>
      <c r="L534">
        <v>0.13639999999999999</v>
      </c>
      <c r="M534">
        <v>0.49</v>
      </c>
      <c r="N534">
        <v>0</v>
      </c>
      <c r="O534">
        <v>6</v>
      </c>
      <c r="P534">
        <v>171</v>
      </c>
      <c r="Q534">
        <v>177</v>
      </c>
    </row>
    <row r="535" spans="1:17" x14ac:dyDescent="0.3">
      <c r="A535">
        <v>534</v>
      </c>
      <c r="B535" s="4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>
        <v>0.06</v>
      </c>
      <c r="L535">
        <v>0.1515</v>
      </c>
      <c r="M535">
        <v>0.41</v>
      </c>
      <c r="N535">
        <v>0</v>
      </c>
      <c r="O535">
        <v>4</v>
      </c>
      <c r="P535">
        <v>98</v>
      </c>
      <c r="Q535">
        <v>102</v>
      </c>
    </row>
    <row r="536" spans="1:17" x14ac:dyDescent="0.3">
      <c r="A536">
        <v>535</v>
      </c>
      <c r="B536" s="4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>
        <v>0.1</v>
      </c>
      <c r="L536">
        <v>0.13639999999999999</v>
      </c>
      <c r="M536">
        <v>0.42</v>
      </c>
      <c r="N536">
        <v>0</v>
      </c>
      <c r="O536">
        <v>6</v>
      </c>
      <c r="P536">
        <v>34</v>
      </c>
      <c r="Q536">
        <v>40</v>
      </c>
    </row>
    <row r="537" spans="1:17" x14ac:dyDescent="0.3">
      <c r="A537">
        <v>536</v>
      </c>
      <c r="B537" s="4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>
        <v>0.1</v>
      </c>
      <c r="L537">
        <v>0.1212</v>
      </c>
      <c r="M537">
        <v>0.46</v>
      </c>
      <c r="N537">
        <v>0.1343</v>
      </c>
      <c r="O537">
        <v>3</v>
      </c>
      <c r="P537">
        <v>43</v>
      </c>
      <c r="Q537">
        <v>46</v>
      </c>
    </row>
    <row r="538" spans="1:17" x14ac:dyDescent="0.3">
      <c r="A538">
        <v>537</v>
      </c>
      <c r="B538" s="4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>
        <v>0.12</v>
      </c>
      <c r="L538">
        <v>0.13639999999999999</v>
      </c>
      <c r="M538">
        <v>0.42</v>
      </c>
      <c r="N538">
        <v>0.19400000000000001</v>
      </c>
      <c r="O538">
        <v>11</v>
      </c>
      <c r="P538">
        <v>52</v>
      </c>
      <c r="Q538">
        <v>63</v>
      </c>
    </row>
    <row r="539" spans="1:17" x14ac:dyDescent="0.3">
      <c r="A539">
        <v>538</v>
      </c>
      <c r="B539" s="4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>
        <v>0.14000000000000001</v>
      </c>
      <c r="L539">
        <v>0.13639999999999999</v>
      </c>
      <c r="M539">
        <v>0.43</v>
      </c>
      <c r="N539">
        <v>0.22389999999999999</v>
      </c>
      <c r="O539">
        <v>6</v>
      </c>
      <c r="P539">
        <v>54</v>
      </c>
      <c r="Q539">
        <v>60</v>
      </c>
    </row>
    <row r="540" spans="1:17" x14ac:dyDescent="0.3">
      <c r="A540">
        <v>539</v>
      </c>
      <c r="B540" s="4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>
        <v>0.14000000000000001</v>
      </c>
      <c r="L540">
        <v>0.13639999999999999</v>
      </c>
      <c r="M540">
        <v>0.46</v>
      </c>
      <c r="N540">
        <v>0.22389999999999999</v>
      </c>
      <c r="O540">
        <v>2</v>
      </c>
      <c r="P540">
        <v>43</v>
      </c>
      <c r="Q540">
        <v>45</v>
      </c>
    </row>
    <row r="541" spans="1:17" x14ac:dyDescent="0.3">
      <c r="A541">
        <v>540</v>
      </c>
      <c r="B541" s="4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>
        <v>0.16</v>
      </c>
      <c r="L541">
        <v>0.16669999999999999</v>
      </c>
      <c r="M541">
        <v>0.4</v>
      </c>
      <c r="N541">
        <v>0.16420000000000001</v>
      </c>
      <c r="O541">
        <v>7</v>
      </c>
      <c r="P541">
        <v>50</v>
      </c>
      <c r="Q541">
        <v>57</v>
      </c>
    </row>
    <row r="542" spans="1:17" x14ac:dyDescent="0.3">
      <c r="A542">
        <v>541</v>
      </c>
      <c r="B542" s="4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>
        <v>0.16</v>
      </c>
      <c r="L542">
        <v>0.1515</v>
      </c>
      <c r="M542">
        <v>0.47</v>
      </c>
      <c r="N542">
        <v>0.25369999999999998</v>
      </c>
      <c r="O542">
        <v>4</v>
      </c>
      <c r="P542">
        <v>66</v>
      </c>
      <c r="Q542">
        <v>70</v>
      </c>
    </row>
    <row r="543" spans="1:17" x14ac:dyDescent="0.3">
      <c r="A543">
        <v>542</v>
      </c>
      <c r="B543" s="4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>
        <v>0.14000000000000001</v>
      </c>
      <c r="L543">
        <v>0.1212</v>
      </c>
      <c r="M543">
        <v>0.5</v>
      </c>
      <c r="N543">
        <v>0.25369999999999998</v>
      </c>
      <c r="O543">
        <v>6</v>
      </c>
      <c r="P543">
        <v>178</v>
      </c>
      <c r="Q543">
        <v>184</v>
      </c>
    </row>
    <row r="544" spans="1:17" x14ac:dyDescent="0.3">
      <c r="A544">
        <v>543</v>
      </c>
      <c r="B544" s="4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>
        <v>0.14000000000000001</v>
      </c>
      <c r="L544">
        <v>0.13639999999999999</v>
      </c>
      <c r="M544">
        <v>0.59</v>
      </c>
      <c r="N544">
        <v>0.19400000000000001</v>
      </c>
      <c r="O544">
        <v>8</v>
      </c>
      <c r="P544">
        <v>145</v>
      </c>
      <c r="Q544">
        <v>153</v>
      </c>
    </row>
    <row r="545" spans="1:17" x14ac:dyDescent="0.3">
      <c r="A545">
        <v>544</v>
      </c>
      <c r="B545" s="4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>
        <v>0.14000000000000001</v>
      </c>
      <c r="L545">
        <v>0.1515</v>
      </c>
      <c r="M545">
        <v>0.54</v>
      </c>
      <c r="N545">
        <v>0.16420000000000001</v>
      </c>
      <c r="O545">
        <v>5</v>
      </c>
      <c r="P545">
        <v>101</v>
      </c>
      <c r="Q545">
        <v>106</v>
      </c>
    </row>
    <row r="546" spans="1:17" x14ac:dyDescent="0.3">
      <c r="A546">
        <v>545</v>
      </c>
      <c r="B546" s="4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>
        <v>0.14000000000000001</v>
      </c>
      <c r="L546">
        <v>0.13639999999999999</v>
      </c>
      <c r="M546">
        <v>0.59</v>
      </c>
      <c r="N546">
        <v>0.19400000000000001</v>
      </c>
      <c r="O546">
        <v>1</v>
      </c>
      <c r="P546">
        <v>80</v>
      </c>
      <c r="Q546">
        <v>81</v>
      </c>
    </row>
    <row r="547" spans="1:17" x14ac:dyDescent="0.3">
      <c r="A547">
        <v>546</v>
      </c>
      <c r="B547" s="4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>
        <v>0.14000000000000001</v>
      </c>
      <c r="L547">
        <v>0.1515</v>
      </c>
      <c r="M547">
        <v>0.63</v>
      </c>
      <c r="N547">
        <v>0.16420000000000001</v>
      </c>
      <c r="O547">
        <v>6</v>
      </c>
      <c r="P547">
        <v>53</v>
      </c>
      <c r="Q547">
        <v>59</v>
      </c>
    </row>
    <row r="548" spans="1:17" x14ac:dyDescent="0.3">
      <c r="A548">
        <v>547</v>
      </c>
      <c r="B548" s="4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>
        <v>0.14000000000000001</v>
      </c>
      <c r="L548">
        <v>0.13639999999999999</v>
      </c>
      <c r="M548">
        <v>0.63</v>
      </c>
      <c r="N548">
        <v>0.22389999999999999</v>
      </c>
      <c r="O548">
        <v>3</v>
      </c>
      <c r="P548">
        <v>32</v>
      </c>
      <c r="Q548">
        <v>35</v>
      </c>
    </row>
    <row r="549" spans="1:17" x14ac:dyDescent="0.3">
      <c r="A549">
        <v>548</v>
      </c>
      <c r="B549" s="4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>
        <v>0.16</v>
      </c>
      <c r="L549">
        <v>0.1515</v>
      </c>
      <c r="M549">
        <v>0.64</v>
      </c>
      <c r="N549">
        <v>0.25369999999999998</v>
      </c>
      <c r="O549">
        <v>3</v>
      </c>
      <c r="P549">
        <v>21</v>
      </c>
      <c r="Q549">
        <v>24</v>
      </c>
    </row>
    <row r="550" spans="1:17" x14ac:dyDescent="0.3">
      <c r="A550">
        <v>549</v>
      </c>
      <c r="B550" s="4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>
        <v>0.16</v>
      </c>
      <c r="L550">
        <v>0.13639999999999999</v>
      </c>
      <c r="M550">
        <v>0.69</v>
      </c>
      <c r="N550">
        <v>0.28360000000000002</v>
      </c>
      <c r="O550">
        <v>3</v>
      </c>
      <c r="P550">
        <v>6</v>
      </c>
      <c r="Q550">
        <v>9</v>
      </c>
    </row>
    <row r="551" spans="1:17" x14ac:dyDescent="0.3">
      <c r="A551">
        <v>550</v>
      </c>
      <c r="B551" s="4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>
        <v>0.16</v>
      </c>
      <c r="L551">
        <v>0.16669999999999999</v>
      </c>
      <c r="M551">
        <v>0.69</v>
      </c>
      <c r="N551">
        <v>0.16420000000000001</v>
      </c>
      <c r="O551">
        <v>0</v>
      </c>
      <c r="P551">
        <v>5</v>
      </c>
      <c r="Q551">
        <v>5</v>
      </c>
    </row>
    <row r="552" spans="1:17" x14ac:dyDescent="0.3">
      <c r="A552">
        <v>551</v>
      </c>
      <c r="B552" s="4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>
        <v>0.16</v>
      </c>
      <c r="L552">
        <v>0.1515</v>
      </c>
      <c r="M552">
        <v>0.69</v>
      </c>
      <c r="N552">
        <v>0.22389999999999999</v>
      </c>
      <c r="O552">
        <v>0</v>
      </c>
      <c r="P552">
        <v>2</v>
      </c>
      <c r="Q552">
        <v>2</v>
      </c>
    </row>
    <row r="553" spans="1:17" x14ac:dyDescent="0.3">
      <c r="A553">
        <v>552</v>
      </c>
      <c r="B553" s="4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>
        <v>0.14000000000000001</v>
      </c>
      <c r="L553">
        <v>0.16669999999999999</v>
      </c>
      <c r="M553">
        <v>0.74</v>
      </c>
      <c r="N553">
        <v>0.1045</v>
      </c>
      <c r="O553">
        <v>0</v>
      </c>
      <c r="P553">
        <v>1</v>
      </c>
      <c r="Q553">
        <v>1</v>
      </c>
    </row>
    <row r="554" spans="1:17" x14ac:dyDescent="0.3">
      <c r="A554">
        <v>553</v>
      </c>
      <c r="B554" s="4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>
        <v>0.14000000000000001</v>
      </c>
      <c r="L554">
        <v>0.13639999999999999</v>
      </c>
      <c r="M554">
        <v>0.74</v>
      </c>
      <c r="N554">
        <v>0.22389999999999999</v>
      </c>
      <c r="O554">
        <v>0</v>
      </c>
      <c r="P554">
        <v>9</v>
      </c>
      <c r="Q554">
        <v>9</v>
      </c>
    </row>
    <row r="555" spans="1:17" x14ac:dyDescent="0.3">
      <c r="A555">
        <v>554</v>
      </c>
      <c r="B555" s="4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>
        <v>0.16</v>
      </c>
      <c r="L555">
        <v>0.18179999999999999</v>
      </c>
      <c r="M555">
        <v>0.74</v>
      </c>
      <c r="N555">
        <v>0.1045</v>
      </c>
      <c r="O555">
        <v>1</v>
      </c>
      <c r="P555">
        <v>35</v>
      </c>
      <c r="Q555">
        <v>36</v>
      </c>
    </row>
    <row r="556" spans="1:17" x14ac:dyDescent="0.3">
      <c r="A556">
        <v>555</v>
      </c>
      <c r="B556" s="4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>
        <v>0.16</v>
      </c>
      <c r="L556">
        <v>0.1515</v>
      </c>
      <c r="M556">
        <v>0.74</v>
      </c>
      <c r="N556">
        <v>0.22389999999999999</v>
      </c>
      <c r="O556">
        <v>5</v>
      </c>
      <c r="P556">
        <v>103</v>
      </c>
      <c r="Q556">
        <v>108</v>
      </c>
    </row>
    <row r="557" spans="1:17" x14ac:dyDescent="0.3">
      <c r="A557">
        <v>556</v>
      </c>
      <c r="B557" s="4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>
        <v>0.16</v>
      </c>
      <c r="L557">
        <v>0.18179999999999999</v>
      </c>
      <c r="M557">
        <v>0.74</v>
      </c>
      <c r="N557">
        <v>0.1343</v>
      </c>
      <c r="O557">
        <v>5</v>
      </c>
      <c r="P557">
        <v>233</v>
      </c>
      <c r="Q557">
        <v>238</v>
      </c>
    </row>
    <row r="558" spans="1:17" x14ac:dyDescent="0.3">
      <c r="A558">
        <v>557</v>
      </c>
      <c r="B558" s="4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>
        <v>0.2</v>
      </c>
      <c r="L558">
        <v>0.2273</v>
      </c>
      <c r="M558">
        <v>0.64</v>
      </c>
      <c r="N558">
        <v>8.9599999999999999E-2</v>
      </c>
      <c r="O558">
        <v>10</v>
      </c>
      <c r="P558">
        <v>134</v>
      </c>
      <c r="Q558">
        <v>144</v>
      </c>
    </row>
    <row r="559" spans="1:17" x14ac:dyDescent="0.3">
      <c r="A559">
        <v>558</v>
      </c>
      <c r="B559" s="4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>
        <v>0.22</v>
      </c>
      <c r="L559">
        <v>0.2424</v>
      </c>
      <c r="M559">
        <v>0.6</v>
      </c>
      <c r="N559">
        <v>0.1045</v>
      </c>
      <c r="O559">
        <v>6</v>
      </c>
      <c r="P559">
        <v>49</v>
      </c>
      <c r="Q559">
        <v>55</v>
      </c>
    </row>
    <row r="560" spans="1:17" x14ac:dyDescent="0.3">
      <c r="A560">
        <v>559</v>
      </c>
      <c r="B560" s="4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>
        <v>0.24</v>
      </c>
      <c r="L560">
        <v>0.2424</v>
      </c>
      <c r="M560">
        <v>0.6</v>
      </c>
      <c r="N560">
        <v>0.1343</v>
      </c>
      <c r="O560">
        <v>6</v>
      </c>
      <c r="P560">
        <v>55</v>
      </c>
      <c r="Q560">
        <v>61</v>
      </c>
    </row>
    <row r="561" spans="1:17" x14ac:dyDescent="0.3">
      <c r="A561">
        <v>560</v>
      </c>
      <c r="B561" s="4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>
        <v>0.26</v>
      </c>
      <c r="L561">
        <v>0.28789999999999999</v>
      </c>
      <c r="M561">
        <v>0.56000000000000005</v>
      </c>
      <c r="N561">
        <v>8.9599999999999999E-2</v>
      </c>
      <c r="O561">
        <v>21</v>
      </c>
      <c r="P561">
        <v>85</v>
      </c>
      <c r="Q561">
        <v>106</v>
      </c>
    </row>
    <row r="562" spans="1:17" x14ac:dyDescent="0.3">
      <c r="A562">
        <v>561</v>
      </c>
      <c r="B562" s="4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>
        <v>0.26</v>
      </c>
      <c r="L562">
        <v>0.2727</v>
      </c>
      <c r="M562">
        <v>0.56000000000000005</v>
      </c>
      <c r="N562">
        <v>0.1343</v>
      </c>
      <c r="O562">
        <v>21</v>
      </c>
      <c r="P562">
        <v>72</v>
      </c>
      <c r="Q562">
        <v>93</v>
      </c>
    </row>
    <row r="563" spans="1:17" x14ac:dyDescent="0.3">
      <c r="A563">
        <v>562</v>
      </c>
      <c r="B563" s="4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>
        <v>0.3</v>
      </c>
      <c r="L563">
        <v>0.33329999999999999</v>
      </c>
      <c r="M563">
        <v>0.45</v>
      </c>
      <c r="N563">
        <v>0</v>
      </c>
      <c r="O563">
        <v>11</v>
      </c>
      <c r="P563">
        <v>57</v>
      </c>
      <c r="Q563">
        <v>68</v>
      </c>
    </row>
    <row r="564" spans="1:17" x14ac:dyDescent="0.3">
      <c r="A564">
        <v>563</v>
      </c>
      <c r="B564" s="4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>
        <v>0.32</v>
      </c>
      <c r="L564">
        <v>0.34849999999999998</v>
      </c>
      <c r="M564">
        <v>0.42</v>
      </c>
      <c r="N564">
        <v>0</v>
      </c>
      <c r="O564">
        <v>21</v>
      </c>
      <c r="P564">
        <v>63</v>
      </c>
      <c r="Q564">
        <v>84</v>
      </c>
    </row>
    <row r="565" spans="1:17" x14ac:dyDescent="0.3">
      <c r="A565">
        <v>564</v>
      </c>
      <c r="B565" s="4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>
        <v>0.32</v>
      </c>
      <c r="L565">
        <v>0.34849999999999998</v>
      </c>
      <c r="M565">
        <v>0.42</v>
      </c>
      <c r="N565">
        <v>0</v>
      </c>
      <c r="O565">
        <v>14</v>
      </c>
      <c r="P565">
        <v>102</v>
      </c>
      <c r="Q565">
        <v>116</v>
      </c>
    </row>
    <row r="566" spans="1:17" x14ac:dyDescent="0.3">
      <c r="A566">
        <v>565</v>
      </c>
      <c r="B566" s="4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>
        <v>0.3</v>
      </c>
      <c r="L566">
        <v>0.33329999999999999</v>
      </c>
      <c r="M566">
        <v>0.45</v>
      </c>
      <c r="N566">
        <v>0</v>
      </c>
      <c r="O566">
        <v>14</v>
      </c>
      <c r="P566">
        <v>208</v>
      </c>
      <c r="Q566">
        <v>222</v>
      </c>
    </row>
    <row r="567" spans="1:17" x14ac:dyDescent="0.3">
      <c r="A567">
        <v>566</v>
      </c>
      <c r="B567" s="4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>
        <v>0.3</v>
      </c>
      <c r="L567">
        <v>0.31819999999999998</v>
      </c>
      <c r="M567">
        <v>0.49</v>
      </c>
      <c r="N567">
        <v>8.9599999999999999E-2</v>
      </c>
      <c r="O567">
        <v>7</v>
      </c>
      <c r="P567">
        <v>218</v>
      </c>
      <c r="Q567">
        <v>225</v>
      </c>
    </row>
    <row r="568" spans="1:17" x14ac:dyDescent="0.3">
      <c r="A568">
        <v>567</v>
      </c>
      <c r="B568" s="4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>
        <v>0.26</v>
      </c>
      <c r="L568">
        <v>0.2576</v>
      </c>
      <c r="M568">
        <v>0.65</v>
      </c>
      <c r="N568">
        <v>0.16420000000000001</v>
      </c>
      <c r="O568">
        <v>13</v>
      </c>
      <c r="P568">
        <v>133</v>
      </c>
      <c r="Q568">
        <v>146</v>
      </c>
    </row>
    <row r="569" spans="1:17" x14ac:dyDescent="0.3">
      <c r="A569">
        <v>568</v>
      </c>
      <c r="B569" s="4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>
        <v>0.24</v>
      </c>
      <c r="L569">
        <v>0.2273</v>
      </c>
      <c r="M569">
        <v>0.65</v>
      </c>
      <c r="N569">
        <v>0.19400000000000001</v>
      </c>
      <c r="O569">
        <v>16</v>
      </c>
      <c r="P569">
        <v>103</v>
      </c>
      <c r="Q569">
        <v>119</v>
      </c>
    </row>
    <row r="570" spans="1:17" x14ac:dyDescent="0.3">
      <c r="A570">
        <v>569</v>
      </c>
      <c r="B570" s="4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>
        <v>0.24</v>
      </c>
      <c r="L570">
        <v>0.2273</v>
      </c>
      <c r="M570">
        <v>0.65</v>
      </c>
      <c r="N570">
        <v>0.19400000000000001</v>
      </c>
      <c r="O570">
        <v>5</v>
      </c>
      <c r="P570">
        <v>40</v>
      </c>
      <c r="Q570">
        <v>45</v>
      </c>
    </row>
    <row r="571" spans="1:17" x14ac:dyDescent="0.3">
      <c r="A571">
        <v>570</v>
      </c>
      <c r="B571" s="4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>
        <v>0.22</v>
      </c>
      <c r="L571">
        <v>0.2273</v>
      </c>
      <c r="M571">
        <v>0.64</v>
      </c>
      <c r="N571">
        <v>0.16420000000000001</v>
      </c>
      <c r="O571">
        <v>4</v>
      </c>
      <c r="P571">
        <v>49</v>
      </c>
      <c r="Q571">
        <v>53</v>
      </c>
    </row>
    <row r="572" spans="1:17" x14ac:dyDescent="0.3">
      <c r="A572">
        <v>571</v>
      </c>
      <c r="B572" s="4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>
        <v>0.22</v>
      </c>
      <c r="L572">
        <v>0.2273</v>
      </c>
      <c r="M572">
        <v>0.64</v>
      </c>
      <c r="N572">
        <v>0.16420000000000001</v>
      </c>
      <c r="O572">
        <v>3</v>
      </c>
      <c r="P572">
        <v>37</v>
      </c>
      <c r="Q572">
        <v>40</v>
      </c>
    </row>
    <row r="573" spans="1:17" x14ac:dyDescent="0.3">
      <c r="A573">
        <v>572</v>
      </c>
      <c r="B573" s="4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>
        <v>0.22</v>
      </c>
      <c r="L573">
        <v>0.2273</v>
      </c>
      <c r="M573">
        <v>0.69</v>
      </c>
      <c r="N573">
        <v>0.1343</v>
      </c>
      <c r="O573">
        <v>3</v>
      </c>
      <c r="P573">
        <v>14</v>
      </c>
      <c r="Q573">
        <v>17</v>
      </c>
    </row>
    <row r="574" spans="1:17" x14ac:dyDescent="0.3">
      <c r="A574">
        <v>573</v>
      </c>
      <c r="B574" s="4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>
        <v>0.24</v>
      </c>
      <c r="L574">
        <v>0.2424</v>
      </c>
      <c r="M574">
        <v>0.65</v>
      </c>
      <c r="N574">
        <v>0.1343</v>
      </c>
      <c r="O574">
        <v>0</v>
      </c>
      <c r="P574">
        <v>5</v>
      </c>
      <c r="Q574">
        <v>5</v>
      </c>
    </row>
    <row r="575" spans="1:17" x14ac:dyDescent="0.3">
      <c r="A575">
        <v>574</v>
      </c>
      <c r="B575" s="4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>
        <v>0.22</v>
      </c>
      <c r="L575">
        <v>0.2273</v>
      </c>
      <c r="M575">
        <v>0.69</v>
      </c>
      <c r="N575">
        <v>0.19400000000000001</v>
      </c>
      <c r="O575">
        <v>3</v>
      </c>
      <c r="P575">
        <v>7</v>
      </c>
      <c r="Q575">
        <v>10</v>
      </c>
    </row>
    <row r="576" spans="1:17" x14ac:dyDescent="0.3">
      <c r="A576">
        <v>575</v>
      </c>
      <c r="B576" s="4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>
        <v>0.2</v>
      </c>
      <c r="L576">
        <v>0.18179999999999999</v>
      </c>
      <c r="M576">
        <v>0.86</v>
      </c>
      <c r="N576">
        <v>0.28360000000000002</v>
      </c>
      <c r="O576">
        <v>0</v>
      </c>
      <c r="P576">
        <v>1</v>
      </c>
      <c r="Q576">
        <v>1</v>
      </c>
    </row>
    <row r="577" spans="1:17" x14ac:dyDescent="0.3">
      <c r="A577">
        <v>576</v>
      </c>
      <c r="B577" s="4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>
        <v>0.2</v>
      </c>
      <c r="L577">
        <v>0.18179999999999999</v>
      </c>
      <c r="M577">
        <v>0.86</v>
      </c>
      <c r="N577">
        <v>0.28360000000000002</v>
      </c>
      <c r="O577">
        <v>0</v>
      </c>
      <c r="P577">
        <v>8</v>
      </c>
      <c r="Q577">
        <v>8</v>
      </c>
    </row>
    <row r="578" spans="1:17" x14ac:dyDescent="0.3">
      <c r="A578">
        <v>577</v>
      </c>
      <c r="B578" s="4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>
        <v>0.22</v>
      </c>
      <c r="L578">
        <v>0.21210000000000001</v>
      </c>
      <c r="M578">
        <v>0.87</v>
      </c>
      <c r="N578">
        <v>0.29849999999999999</v>
      </c>
      <c r="O578">
        <v>1</v>
      </c>
      <c r="P578">
        <v>29</v>
      </c>
      <c r="Q578">
        <v>30</v>
      </c>
    </row>
    <row r="579" spans="1:17" x14ac:dyDescent="0.3">
      <c r="A579">
        <v>578</v>
      </c>
      <c r="B579" s="4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>
        <v>0.22</v>
      </c>
      <c r="L579">
        <v>0.21210000000000001</v>
      </c>
      <c r="M579">
        <v>0.87</v>
      </c>
      <c r="N579">
        <v>0.29849999999999999</v>
      </c>
      <c r="O579">
        <v>3</v>
      </c>
      <c r="P579">
        <v>69</v>
      </c>
      <c r="Q579">
        <v>72</v>
      </c>
    </row>
    <row r="580" spans="1:17" x14ac:dyDescent="0.3">
      <c r="A580">
        <v>579</v>
      </c>
      <c r="B580" s="4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>
        <v>0.22</v>
      </c>
      <c r="L580">
        <v>0.21210000000000001</v>
      </c>
      <c r="M580">
        <v>0.87</v>
      </c>
      <c r="N580">
        <v>0.29849999999999999</v>
      </c>
      <c r="O580">
        <v>3</v>
      </c>
      <c r="P580">
        <v>55</v>
      </c>
      <c r="Q580">
        <v>58</v>
      </c>
    </row>
    <row r="581" spans="1:17" x14ac:dyDescent="0.3">
      <c r="A581">
        <v>580</v>
      </c>
      <c r="B581" s="4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>
        <v>0.22</v>
      </c>
      <c r="L581">
        <v>0.21210000000000001</v>
      </c>
      <c r="M581">
        <v>0.93</v>
      </c>
      <c r="N581">
        <v>0.28360000000000002</v>
      </c>
      <c r="O581">
        <v>2</v>
      </c>
      <c r="P581">
        <v>26</v>
      </c>
      <c r="Q581">
        <v>28</v>
      </c>
    </row>
    <row r="582" spans="1:17" x14ac:dyDescent="0.3">
      <c r="A582">
        <v>581</v>
      </c>
      <c r="B582" s="4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>
        <v>0.22</v>
      </c>
      <c r="L582">
        <v>0.19700000000000001</v>
      </c>
      <c r="M582">
        <v>0.93</v>
      </c>
      <c r="N582">
        <v>0.32840000000000003</v>
      </c>
      <c r="O582">
        <v>6</v>
      </c>
      <c r="P582">
        <v>35</v>
      </c>
      <c r="Q582">
        <v>41</v>
      </c>
    </row>
    <row r="583" spans="1:17" x14ac:dyDescent="0.3">
      <c r="A583">
        <v>582</v>
      </c>
      <c r="B583" s="4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>
        <v>0.22</v>
      </c>
      <c r="L583">
        <v>0.19700000000000001</v>
      </c>
      <c r="M583">
        <v>0.93</v>
      </c>
      <c r="N583">
        <v>0.32840000000000003</v>
      </c>
      <c r="O583">
        <v>7</v>
      </c>
      <c r="P583">
        <v>41</v>
      </c>
      <c r="Q583">
        <v>48</v>
      </c>
    </row>
    <row r="584" spans="1:17" x14ac:dyDescent="0.3">
      <c r="A584">
        <v>583</v>
      </c>
      <c r="B584" s="4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>
        <v>0.22</v>
      </c>
      <c r="L584">
        <v>0.19700000000000001</v>
      </c>
      <c r="M584">
        <v>0.93</v>
      </c>
      <c r="N584">
        <v>0.32840000000000003</v>
      </c>
      <c r="O584">
        <v>4</v>
      </c>
      <c r="P584">
        <v>43</v>
      </c>
      <c r="Q584">
        <v>47</v>
      </c>
    </row>
    <row r="585" spans="1:17" x14ac:dyDescent="0.3">
      <c r="A585">
        <v>584</v>
      </c>
      <c r="B585" s="4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>
        <v>0.22</v>
      </c>
      <c r="L585">
        <v>0.19700000000000001</v>
      </c>
      <c r="M585">
        <v>0.93</v>
      </c>
      <c r="N585">
        <v>0.35820000000000002</v>
      </c>
      <c r="O585">
        <v>0</v>
      </c>
      <c r="P585">
        <v>36</v>
      </c>
      <c r="Q585">
        <v>36</v>
      </c>
    </row>
    <row r="586" spans="1:17" x14ac:dyDescent="0.3">
      <c r="A586">
        <v>585</v>
      </c>
      <c r="B586" s="4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>
        <v>0.22</v>
      </c>
      <c r="L586">
        <v>0.18179999999999999</v>
      </c>
      <c r="M586">
        <v>0.93</v>
      </c>
      <c r="N586">
        <v>0.4627</v>
      </c>
      <c r="O586">
        <v>1</v>
      </c>
      <c r="P586">
        <v>42</v>
      </c>
      <c r="Q586">
        <v>43</v>
      </c>
    </row>
    <row r="587" spans="1:17" x14ac:dyDescent="0.3">
      <c r="A587">
        <v>586</v>
      </c>
      <c r="B587" s="4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>
        <v>0.22</v>
      </c>
      <c r="L587">
        <v>0.19700000000000001</v>
      </c>
      <c r="M587">
        <v>0.93</v>
      </c>
      <c r="N587">
        <v>0.32840000000000003</v>
      </c>
      <c r="O587">
        <v>1</v>
      </c>
      <c r="P587">
        <v>35</v>
      </c>
      <c r="Q587">
        <v>36</v>
      </c>
    </row>
    <row r="588" spans="1:17" x14ac:dyDescent="0.3">
      <c r="A588">
        <v>587</v>
      </c>
      <c r="B588" s="4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>
        <v>0.2</v>
      </c>
      <c r="L588">
        <v>0.18179999999999999</v>
      </c>
      <c r="M588">
        <v>0.93</v>
      </c>
      <c r="N588">
        <v>0.35820000000000002</v>
      </c>
      <c r="O588">
        <v>0</v>
      </c>
      <c r="P588">
        <v>26</v>
      </c>
      <c r="Q588">
        <v>26</v>
      </c>
    </row>
    <row r="589" spans="1:17" x14ac:dyDescent="0.3">
      <c r="A589">
        <v>588</v>
      </c>
      <c r="B589" s="4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>
        <v>0.22</v>
      </c>
      <c r="L589">
        <v>0.2273</v>
      </c>
      <c r="M589">
        <v>0.55000000000000004</v>
      </c>
      <c r="N589">
        <v>0.19400000000000001</v>
      </c>
      <c r="O589">
        <v>1</v>
      </c>
      <c r="P589">
        <v>23</v>
      </c>
      <c r="Q589">
        <v>24</v>
      </c>
    </row>
    <row r="590" spans="1:17" x14ac:dyDescent="0.3">
      <c r="A590">
        <v>589</v>
      </c>
      <c r="B590" s="4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>
        <v>0.22</v>
      </c>
      <c r="L590">
        <v>0.2424</v>
      </c>
      <c r="M590">
        <v>0.55000000000000004</v>
      </c>
      <c r="N590">
        <v>0.1045</v>
      </c>
      <c r="O590">
        <v>2</v>
      </c>
      <c r="P590">
        <v>82</v>
      </c>
      <c r="Q590">
        <v>84</v>
      </c>
    </row>
    <row r="591" spans="1:17" x14ac:dyDescent="0.3">
      <c r="A591">
        <v>590</v>
      </c>
      <c r="B591" s="4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>
        <v>0.2</v>
      </c>
      <c r="L591">
        <v>0.2273</v>
      </c>
      <c r="M591">
        <v>0.69</v>
      </c>
      <c r="N591">
        <v>8.9599999999999999E-2</v>
      </c>
      <c r="O591">
        <v>3</v>
      </c>
      <c r="P591">
        <v>101</v>
      </c>
      <c r="Q591">
        <v>104</v>
      </c>
    </row>
    <row r="592" spans="1:17" x14ac:dyDescent="0.3">
      <c r="A592">
        <v>591</v>
      </c>
      <c r="B592" s="4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>
        <v>0.2</v>
      </c>
      <c r="L592">
        <v>0.2273</v>
      </c>
      <c r="M592">
        <v>0.69</v>
      </c>
      <c r="N592">
        <v>8.9599999999999999E-2</v>
      </c>
      <c r="O592">
        <v>3</v>
      </c>
      <c r="P592">
        <v>76</v>
      </c>
      <c r="Q592">
        <v>79</v>
      </c>
    </row>
    <row r="593" spans="1:17" x14ac:dyDescent="0.3">
      <c r="A593">
        <v>592</v>
      </c>
      <c r="B593" s="4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>
        <v>0.18</v>
      </c>
      <c r="L593">
        <v>0.21210000000000001</v>
      </c>
      <c r="M593">
        <v>0.74</v>
      </c>
      <c r="N593">
        <v>8.9599999999999999E-2</v>
      </c>
      <c r="O593">
        <v>4</v>
      </c>
      <c r="P593">
        <v>55</v>
      </c>
      <c r="Q593">
        <v>59</v>
      </c>
    </row>
    <row r="594" spans="1:17" x14ac:dyDescent="0.3">
      <c r="A594">
        <v>593</v>
      </c>
      <c r="B594" s="4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>
        <v>0.18</v>
      </c>
      <c r="L594">
        <v>0.21210000000000001</v>
      </c>
      <c r="M594">
        <v>0.74</v>
      </c>
      <c r="N594">
        <v>8.9599999999999999E-2</v>
      </c>
      <c r="O594">
        <v>2</v>
      </c>
      <c r="P594">
        <v>36</v>
      </c>
      <c r="Q594">
        <v>38</v>
      </c>
    </row>
    <row r="595" spans="1:17" x14ac:dyDescent="0.3">
      <c r="A595">
        <v>594</v>
      </c>
      <c r="B595" s="4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>
        <v>0.18</v>
      </c>
      <c r="L595">
        <v>0.21210000000000001</v>
      </c>
      <c r="M595">
        <v>0.74</v>
      </c>
      <c r="N595">
        <v>8.9599999999999999E-2</v>
      </c>
      <c r="O595">
        <v>0</v>
      </c>
      <c r="P595">
        <v>27</v>
      </c>
      <c r="Q595">
        <v>27</v>
      </c>
    </row>
    <row r="596" spans="1:17" x14ac:dyDescent="0.3">
      <c r="A596">
        <v>595</v>
      </c>
      <c r="B596" s="4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>
        <v>0.18</v>
      </c>
      <c r="L596">
        <v>0.19700000000000001</v>
      </c>
      <c r="M596">
        <v>0.8</v>
      </c>
      <c r="N596">
        <v>0.16420000000000001</v>
      </c>
      <c r="O596">
        <v>0</v>
      </c>
      <c r="P596">
        <v>16</v>
      </c>
      <c r="Q596">
        <v>16</v>
      </c>
    </row>
    <row r="597" spans="1:17" x14ac:dyDescent="0.3">
      <c r="A597">
        <v>596</v>
      </c>
      <c r="B597" s="4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>
        <v>0.2</v>
      </c>
      <c r="L597">
        <v>0.21210000000000001</v>
      </c>
      <c r="M597">
        <v>0.75</v>
      </c>
      <c r="N597">
        <v>0.1343</v>
      </c>
      <c r="O597">
        <v>0</v>
      </c>
      <c r="P597">
        <v>9</v>
      </c>
      <c r="Q597">
        <v>9</v>
      </c>
    </row>
    <row r="598" spans="1:17" x14ac:dyDescent="0.3">
      <c r="A598">
        <v>597</v>
      </c>
      <c r="B598" s="4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>
        <v>0.2</v>
      </c>
      <c r="L598">
        <v>0.21210000000000001</v>
      </c>
      <c r="M598">
        <v>0.75</v>
      </c>
      <c r="N598">
        <v>0.1343</v>
      </c>
      <c r="O598">
        <v>1</v>
      </c>
      <c r="P598">
        <v>2</v>
      </c>
      <c r="Q598">
        <v>3</v>
      </c>
    </row>
    <row r="599" spans="1:17" x14ac:dyDescent="0.3">
      <c r="A599">
        <v>598</v>
      </c>
      <c r="B599" s="4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>
        <v>0.2</v>
      </c>
      <c r="L599">
        <v>0.21210000000000001</v>
      </c>
      <c r="M599">
        <v>0.75</v>
      </c>
      <c r="N599">
        <v>0.16420000000000001</v>
      </c>
      <c r="O599">
        <v>0</v>
      </c>
      <c r="P599">
        <v>2</v>
      </c>
      <c r="Q599">
        <v>2</v>
      </c>
    </row>
    <row r="600" spans="1:17" x14ac:dyDescent="0.3">
      <c r="A600">
        <v>599</v>
      </c>
      <c r="B600" s="4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>
        <v>0.2</v>
      </c>
      <c r="L600">
        <v>0.2273</v>
      </c>
      <c r="M600">
        <v>0.75</v>
      </c>
      <c r="N600">
        <v>0.1045</v>
      </c>
      <c r="O600">
        <v>1</v>
      </c>
      <c r="P600">
        <v>0</v>
      </c>
      <c r="Q600">
        <v>1</v>
      </c>
    </row>
    <row r="601" spans="1:17" x14ac:dyDescent="0.3">
      <c r="A601">
        <v>600</v>
      </c>
      <c r="B601" s="4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>
        <v>0.18</v>
      </c>
      <c r="L601">
        <v>0.21210000000000001</v>
      </c>
      <c r="M601">
        <v>0.8</v>
      </c>
      <c r="N601">
        <v>0.1045</v>
      </c>
      <c r="O601">
        <v>0</v>
      </c>
      <c r="P601">
        <v>4</v>
      </c>
      <c r="Q601">
        <v>4</v>
      </c>
    </row>
    <row r="602" spans="1:17" x14ac:dyDescent="0.3">
      <c r="A602">
        <v>601</v>
      </c>
      <c r="B602" s="4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>
        <v>0.18</v>
      </c>
      <c r="L602">
        <v>0.19700000000000001</v>
      </c>
      <c r="M602">
        <v>0.8</v>
      </c>
      <c r="N602">
        <v>0.1343</v>
      </c>
      <c r="O602">
        <v>0</v>
      </c>
      <c r="P602">
        <v>16</v>
      </c>
      <c r="Q602">
        <v>16</v>
      </c>
    </row>
    <row r="603" spans="1:17" x14ac:dyDescent="0.3">
      <c r="A603">
        <v>602</v>
      </c>
      <c r="B603" s="4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>
        <v>0.16</v>
      </c>
      <c r="L603">
        <v>0.19700000000000001</v>
      </c>
      <c r="M603">
        <v>0.86</v>
      </c>
      <c r="N603">
        <v>8.9599999999999999E-2</v>
      </c>
      <c r="O603">
        <v>2</v>
      </c>
      <c r="P603">
        <v>58</v>
      </c>
      <c r="Q603">
        <v>60</v>
      </c>
    </row>
    <row r="604" spans="1:17" x14ac:dyDescent="0.3">
      <c r="A604">
        <v>603</v>
      </c>
      <c r="B604" s="4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>
        <v>0.16</v>
      </c>
      <c r="L604">
        <v>0.19700000000000001</v>
      </c>
      <c r="M604">
        <v>0.86</v>
      </c>
      <c r="N604">
        <v>8.9599999999999999E-2</v>
      </c>
      <c r="O604">
        <v>2</v>
      </c>
      <c r="P604">
        <v>155</v>
      </c>
      <c r="Q604">
        <v>157</v>
      </c>
    </row>
    <row r="605" spans="1:17" x14ac:dyDescent="0.3">
      <c r="A605">
        <v>604</v>
      </c>
      <c r="B605" s="4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>
        <v>0.18</v>
      </c>
      <c r="L605">
        <v>0.21210000000000001</v>
      </c>
      <c r="M605">
        <v>0.86</v>
      </c>
      <c r="N605">
        <v>8.9599999999999999E-2</v>
      </c>
      <c r="O605">
        <v>6</v>
      </c>
      <c r="P605">
        <v>95</v>
      </c>
      <c r="Q605">
        <v>101</v>
      </c>
    </row>
    <row r="606" spans="1:17" x14ac:dyDescent="0.3">
      <c r="A606">
        <v>605</v>
      </c>
      <c r="B606" s="4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>
        <v>0.18</v>
      </c>
      <c r="L606">
        <v>0.21210000000000001</v>
      </c>
      <c r="M606">
        <v>0.86</v>
      </c>
      <c r="N606">
        <v>0.1045</v>
      </c>
      <c r="O606">
        <v>0</v>
      </c>
      <c r="P606">
        <v>49</v>
      </c>
      <c r="Q606">
        <v>49</v>
      </c>
    </row>
    <row r="607" spans="1:17" x14ac:dyDescent="0.3">
      <c r="A607">
        <v>606</v>
      </c>
      <c r="B607" s="4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>
        <v>0.18</v>
      </c>
      <c r="L607">
        <v>0.21210000000000001</v>
      </c>
      <c r="M607">
        <v>0.93</v>
      </c>
      <c r="N607">
        <v>0.1045</v>
      </c>
      <c r="O607">
        <v>0</v>
      </c>
      <c r="P607">
        <v>30</v>
      </c>
      <c r="Q607">
        <v>30</v>
      </c>
    </row>
    <row r="608" spans="1:17" x14ac:dyDescent="0.3">
      <c r="A608">
        <v>607</v>
      </c>
      <c r="B608" s="4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>
        <v>0.18</v>
      </c>
      <c r="L608">
        <v>0.21210000000000001</v>
      </c>
      <c r="M608">
        <v>0.93</v>
      </c>
      <c r="N608">
        <v>0.1045</v>
      </c>
      <c r="O608">
        <v>1</v>
      </c>
      <c r="P608">
        <v>28</v>
      </c>
      <c r="Q608">
        <v>29</v>
      </c>
    </row>
    <row r="609" spans="1:17" x14ac:dyDescent="0.3">
      <c r="A609">
        <v>608</v>
      </c>
      <c r="B609" s="4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>
        <v>0.18</v>
      </c>
      <c r="L609">
        <v>0.21210000000000001</v>
      </c>
      <c r="M609">
        <v>0.93</v>
      </c>
      <c r="N609">
        <v>0.1045</v>
      </c>
      <c r="O609">
        <v>0</v>
      </c>
      <c r="P609">
        <v>31</v>
      </c>
      <c r="Q609">
        <v>31</v>
      </c>
    </row>
    <row r="610" spans="1:17" x14ac:dyDescent="0.3">
      <c r="A610">
        <v>609</v>
      </c>
      <c r="B610" s="4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>
        <v>0.22</v>
      </c>
      <c r="L610">
        <v>0.2727</v>
      </c>
      <c r="M610">
        <v>0.8</v>
      </c>
      <c r="N610">
        <v>0</v>
      </c>
      <c r="O610">
        <v>2</v>
      </c>
      <c r="P610">
        <v>36</v>
      </c>
      <c r="Q610">
        <v>38</v>
      </c>
    </row>
    <row r="611" spans="1:17" x14ac:dyDescent="0.3">
      <c r="A611">
        <v>610</v>
      </c>
      <c r="B611" s="4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>
        <v>0.2</v>
      </c>
      <c r="L611">
        <v>0.2576</v>
      </c>
      <c r="M611">
        <v>0.86</v>
      </c>
      <c r="N611">
        <v>0</v>
      </c>
      <c r="O611">
        <v>1</v>
      </c>
      <c r="P611">
        <v>40</v>
      </c>
      <c r="Q611">
        <v>41</v>
      </c>
    </row>
    <row r="612" spans="1:17" x14ac:dyDescent="0.3">
      <c r="A612">
        <v>611</v>
      </c>
      <c r="B612" s="4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>
        <v>0.22</v>
      </c>
      <c r="L612">
        <v>0.2727</v>
      </c>
      <c r="M612">
        <v>0.8</v>
      </c>
      <c r="N612">
        <v>0</v>
      </c>
      <c r="O612">
        <v>10</v>
      </c>
      <c r="P612">
        <v>70</v>
      </c>
      <c r="Q612">
        <v>80</v>
      </c>
    </row>
    <row r="613" spans="1:17" x14ac:dyDescent="0.3">
      <c r="A613">
        <v>612</v>
      </c>
      <c r="B613" s="4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>
        <v>0.24</v>
      </c>
      <c r="L613">
        <v>0.2424</v>
      </c>
      <c r="M613">
        <v>0.75</v>
      </c>
      <c r="N613">
        <v>0.1343</v>
      </c>
      <c r="O613">
        <v>2</v>
      </c>
      <c r="P613">
        <v>147</v>
      </c>
      <c r="Q613">
        <v>149</v>
      </c>
    </row>
    <row r="614" spans="1:17" x14ac:dyDescent="0.3">
      <c r="A614">
        <v>613</v>
      </c>
      <c r="B614" s="4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>
        <v>0.24</v>
      </c>
      <c r="L614">
        <v>0.2273</v>
      </c>
      <c r="M614">
        <v>0.75</v>
      </c>
      <c r="N614">
        <v>0.19400000000000001</v>
      </c>
      <c r="O614">
        <v>2</v>
      </c>
      <c r="P614">
        <v>107</v>
      </c>
      <c r="Q614">
        <v>109</v>
      </c>
    </row>
    <row r="615" spans="1:17" x14ac:dyDescent="0.3">
      <c r="A615">
        <v>614</v>
      </c>
      <c r="B615" s="4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>
        <v>0.24</v>
      </c>
      <c r="L615">
        <v>0.2424</v>
      </c>
      <c r="M615">
        <v>0.75</v>
      </c>
      <c r="N615">
        <v>0.1343</v>
      </c>
      <c r="O615">
        <v>5</v>
      </c>
      <c r="P615">
        <v>84</v>
      </c>
      <c r="Q615">
        <v>89</v>
      </c>
    </row>
    <row r="616" spans="1:17" x14ac:dyDescent="0.3">
      <c r="A616">
        <v>615</v>
      </c>
      <c r="B616" s="4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>
        <v>0.24</v>
      </c>
      <c r="L616">
        <v>0.2273</v>
      </c>
      <c r="M616">
        <v>0.7</v>
      </c>
      <c r="N616">
        <v>0.19400000000000001</v>
      </c>
      <c r="O616">
        <v>1</v>
      </c>
      <c r="P616">
        <v>61</v>
      </c>
      <c r="Q616">
        <v>62</v>
      </c>
    </row>
    <row r="617" spans="1:17" x14ac:dyDescent="0.3">
      <c r="A617">
        <v>616</v>
      </c>
      <c r="B617" s="4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>
        <v>0.22</v>
      </c>
      <c r="L617">
        <v>0.2273</v>
      </c>
      <c r="M617">
        <v>0.75</v>
      </c>
      <c r="N617">
        <v>0.1343</v>
      </c>
      <c r="O617">
        <v>1</v>
      </c>
      <c r="P617">
        <v>57</v>
      </c>
      <c r="Q617">
        <v>58</v>
      </c>
    </row>
    <row r="618" spans="1:17" x14ac:dyDescent="0.3">
      <c r="A618">
        <v>617</v>
      </c>
      <c r="B618" s="4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>
        <v>0.24</v>
      </c>
      <c r="L618">
        <v>0.21210000000000001</v>
      </c>
      <c r="M618">
        <v>0.65</v>
      </c>
      <c r="N618">
        <v>0.35820000000000002</v>
      </c>
      <c r="O618">
        <v>0</v>
      </c>
      <c r="P618">
        <v>26</v>
      </c>
      <c r="Q618">
        <v>26</v>
      </c>
    </row>
    <row r="619" spans="1:17" x14ac:dyDescent="0.3">
      <c r="A619">
        <v>618</v>
      </c>
      <c r="B619" s="4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>
        <v>0.24</v>
      </c>
      <c r="L619">
        <v>0.2273</v>
      </c>
      <c r="M619">
        <v>0.6</v>
      </c>
      <c r="N619">
        <v>0.22389999999999999</v>
      </c>
      <c r="O619">
        <v>1</v>
      </c>
      <c r="P619">
        <v>22</v>
      </c>
      <c r="Q619">
        <v>23</v>
      </c>
    </row>
    <row r="620" spans="1:17" x14ac:dyDescent="0.3">
      <c r="A620">
        <v>619</v>
      </c>
      <c r="B620" s="4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>
        <v>0.22</v>
      </c>
      <c r="L620">
        <v>0.19700000000000001</v>
      </c>
      <c r="M620">
        <v>0.64</v>
      </c>
      <c r="N620">
        <v>0.35820000000000002</v>
      </c>
      <c r="O620">
        <v>2</v>
      </c>
      <c r="P620">
        <v>26</v>
      </c>
      <c r="Q620">
        <v>28</v>
      </c>
    </row>
    <row r="621" spans="1:17" x14ac:dyDescent="0.3">
      <c r="A621">
        <v>620</v>
      </c>
      <c r="B621" s="4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>
        <v>0.22</v>
      </c>
      <c r="L621">
        <v>0.2273</v>
      </c>
      <c r="M621">
        <v>0.64</v>
      </c>
      <c r="N621">
        <v>0.19400000000000001</v>
      </c>
      <c r="O621">
        <v>0</v>
      </c>
      <c r="P621">
        <v>20</v>
      </c>
      <c r="Q621">
        <v>20</v>
      </c>
    </row>
    <row r="622" spans="1:17" x14ac:dyDescent="0.3">
      <c r="A622">
        <v>621</v>
      </c>
      <c r="B622" s="4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>
        <v>0.22</v>
      </c>
      <c r="L622">
        <v>0.2273</v>
      </c>
      <c r="M622">
        <v>0.64</v>
      </c>
      <c r="N622">
        <v>0.16420000000000001</v>
      </c>
      <c r="O622">
        <v>0</v>
      </c>
      <c r="P622">
        <v>15</v>
      </c>
      <c r="Q622">
        <v>15</v>
      </c>
    </row>
    <row r="623" spans="1:17" x14ac:dyDescent="0.3">
      <c r="A623">
        <v>622</v>
      </c>
      <c r="B623" s="4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>
        <v>0.2</v>
      </c>
      <c r="L623">
        <v>0.21210000000000001</v>
      </c>
      <c r="M623">
        <v>0.64</v>
      </c>
      <c r="N623">
        <v>0.1343</v>
      </c>
      <c r="O623">
        <v>3</v>
      </c>
      <c r="P623">
        <v>5</v>
      </c>
      <c r="Q623">
        <v>8</v>
      </c>
    </row>
    <row r="624" spans="1:17" x14ac:dyDescent="0.3">
      <c r="A624">
        <v>623</v>
      </c>
      <c r="B624" s="4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>
        <v>0.16</v>
      </c>
      <c r="L624">
        <v>0.18179999999999999</v>
      </c>
      <c r="M624">
        <v>0.69</v>
      </c>
      <c r="N624">
        <v>0.1045</v>
      </c>
      <c r="O624">
        <v>1</v>
      </c>
      <c r="P624">
        <v>2</v>
      </c>
      <c r="Q624">
        <v>3</v>
      </c>
    </row>
    <row r="625" spans="1:17" x14ac:dyDescent="0.3">
      <c r="A625">
        <v>624</v>
      </c>
      <c r="B625" s="4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>
        <v>0.16</v>
      </c>
      <c r="L625">
        <v>0.18179999999999999</v>
      </c>
      <c r="M625">
        <v>0.64</v>
      </c>
      <c r="N625">
        <v>0.1343</v>
      </c>
      <c r="O625">
        <v>0</v>
      </c>
      <c r="P625">
        <v>2</v>
      </c>
      <c r="Q625">
        <v>2</v>
      </c>
    </row>
    <row r="626" spans="1:17" x14ac:dyDescent="0.3">
      <c r="A626">
        <v>625</v>
      </c>
      <c r="B626" s="4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>
        <v>0.16</v>
      </c>
      <c r="L626">
        <v>0.18179999999999999</v>
      </c>
      <c r="M626">
        <v>0.59</v>
      </c>
      <c r="N626">
        <v>0.1045</v>
      </c>
      <c r="O626">
        <v>1</v>
      </c>
      <c r="P626">
        <v>4</v>
      </c>
      <c r="Q626">
        <v>5</v>
      </c>
    </row>
    <row r="627" spans="1:17" x14ac:dyDescent="0.3">
      <c r="A627">
        <v>626</v>
      </c>
      <c r="B627" s="4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>
        <v>0.18</v>
      </c>
      <c r="L627">
        <v>0.19700000000000001</v>
      </c>
      <c r="M627">
        <v>0.55000000000000004</v>
      </c>
      <c r="N627">
        <v>0.16420000000000001</v>
      </c>
      <c r="O627">
        <v>3</v>
      </c>
      <c r="P627">
        <v>31</v>
      </c>
      <c r="Q627">
        <v>34</v>
      </c>
    </row>
    <row r="628" spans="1:17" x14ac:dyDescent="0.3">
      <c r="A628">
        <v>627</v>
      </c>
      <c r="B628" s="4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>
        <v>0.18</v>
      </c>
      <c r="L628">
        <v>0.21210000000000001</v>
      </c>
      <c r="M628">
        <v>0.59</v>
      </c>
      <c r="N628">
        <v>8.9599999999999999E-2</v>
      </c>
      <c r="O628">
        <v>0</v>
      </c>
      <c r="P628">
        <v>34</v>
      </c>
      <c r="Q628">
        <v>34</v>
      </c>
    </row>
    <row r="629" spans="1:17" x14ac:dyDescent="0.3">
      <c r="A629">
        <v>628</v>
      </c>
      <c r="B629" s="4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>
        <v>0.18</v>
      </c>
      <c r="L629">
        <v>0.21210000000000001</v>
      </c>
      <c r="M629">
        <v>0.64</v>
      </c>
      <c r="N629">
        <v>0.1045</v>
      </c>
      <c r="O629">
        <v>4</v>
      </c>
      <c r="P629">
        <v>51</v>
      </c>
      <c r="Q629">
        <v>55</v>
      </c>
    </row>
    <row r="630" spans="1:17" x14ac:dyDescent="0.3">
      <c r="A630">
        <v>629</v>
      </c>
      <c r="B630" s="4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>
        <v>0.18</v>
      </c>
      <c r="L630">
        <v>0.19700000000000001</v>
      </c>
      <c r="M630">
        <v>0.64</v>
      </c>
      <c r="N630">
        <v>0.1343</v>
      </c>
      <c r="O630">
        <v>4</v>
      </c>
      <c r="P630">
        <v>60</v>
      </c>
      <c r="Q630">
        <v>64</v>
      </c>
    </row>
    <row r="631" spans="1:17" x14ac:dyDescent="0.3">
      <c r="A631">
        <v>630</v>
      </c>
      <c r="B631" s="4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>
        <v>0.2</v>
      </c>
      <c r="L631">
        <v>0.19700000000000001</v>
      </c>
      <c r="M631">
        <v>0.59</v>
      </c>
      <c r="N631">
        <v>0.19400000000000001</v>
      </c>
      <c r="O631">
        <v>12</v>
      </c>
      <c r="P631">
        <v>66</v>
      </c>
      <c r="Q631">
        <v>78</v>
      </c>
    </row>
    <row r="632" spans="1:17" x14ac:dyDescent="0.3">
      <c r="A632">
        <v>631</v>
      </c>
      <c r="B632" s="4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>
        <v>0.22</v>
      </c>
      <c r="L632">
        <v>0.2273</v>
      </c>
      <c r="M632">
        <v>0.55000000000000004</v>
      </c>
      <c r="N632">
        <v>0.16420000000000001</v>
      </c>
      <c r="O632">
        <v>9</v>
      </c>
      <c r="P632">
        <v>56</v>
      </c>
      <c r="Q632">
        <v>65</v>
      </c>
    </row>
    <row r="633" spans="1:17" x14ac:dyDescent="0.3">
      <c r="A633">
        <v>632</v>
      </c>
      <c r="B633" s="4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>
        <v>0.22</v>
      </c>
      <c r="L633">
        <v>0.2273</v>
      </c>
      <c r="M633">
        <v>0.6</v>
      </c>
      <c r="N633">
        <v>0.1343</v>
      </c>
      <c r="O633">
        <v>10</v>
      </c>
      <c r="P633">
        <v>89</v>
      </c>
      <c r="Q633">
        <v>99</v>
      </c>
    </row>
    <row r="634" spans="1:17" x14ac:dyDescent="0.3">
      <c r="A634">
        <v>633</v>
      </c>
      <c r="B634" s="4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>
        <v>0.22</v>
      </c>
      <c r="L634">
        <v>0.21210000000000001</v>
      </c>
      <c r="M634">
        <v>0.69</v>
      </c>
      <c r="N634">
        <v>0.25369999999999998</v>
      </c>
      <c r="O634">
        <v>22</v>
      </c>
      <c r="P634">
        <v>98</v>
      </c>
      <c r="Q634">
        <v>120</v>
      </c>
    </row>
    <row r="635" spans="1:17" x14ac:dyDescent="0.3">
      <c r="A635">
        <v>634</v>
      </c>
      <c r="B635" s="4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>
        <v>0.24</v>
      </c>
      <c r="L635">
        <v>0.2424</v>
      </c>
      <c r="M635">
        <v>0.6</v>
      </c>
      <c r="N635">
        <v>0.16420000000000001</v>
      </c>
      <c r="O635">
        <v>19</v>
      </c>
      <c r="P635">
        <v>88</v>
      </c>
      <c r="Q635">
        <v>107</v>
      </c>
    </row>
    <row r="636" spans="1:17" x14ac:dyDescent="0.3">
      <c r="A636">
        <v>635</v>
      </c>
      <c r="B636" s="4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>
        <v>0.24</v>
      </c>
      <c r="L636">
        <v>0.28789999999999999</v>
      </c>
      <c r="M636">
        <v>0.6</v>
      </c>
      <c r="N636">
        <v>0</v>
      </c>
      <c r="O636">
        <v>9</v>
      </c>
      <c r="P636">
        <v>82</v>
      </c>
      <c r="Q636">
        <v>91</v>
      </c>
    </row>
    <row r="637" spans="1:17" x14ac:dyDescent="0.3">
      <c r="A637">
        <v>636</v>
      </c>
      <c r="B637" s="4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>
        <v>0.22</v>
      </c>
      <c r="L637">
        <v>0.2273</v>
      </c>
      <c r="M637">
        <v>0.69</v>
      </c>
      <c r="N637">
        <v>0.1343</v>
      </c>
      <c r="O637">
        <v>9</v>
      </c>
      <c r="P637">
        <v>59</v>
      </c>
      <c r="Q637">
        <v>68</v>
      </c>
    </row>
    <row r="638" spans="1:17" x14ac:dyDescent="0.3">
      <c r="A638">
        <v>637</v>
      </c>
      <c r="B638" s="4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>
        <v>0.22</v>
      </c>
      <c r="L638">
        <v>0.21210000000000001</v>
      </c>
      <c r="M638">
        <v>0.69</v>
      </c>
      <c r="N638">
        <v>0.25369999999999998</v>
      </c>
      <c r="O638">
        <v>6</v>
      </c>
      <c r="P638">
        <v>52</v>
      </c>
      <c r="Q638">
        <v>58</v>
      </c>
    </row>
    <row r="639" spans="1:17" x14ac:dyDescent="0.3">
      <c r="A639">
        <v>638</v>
      </c>
      <c r="B639" s="4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>
        <v>0.18</v>
      </c>
      <c r="L639">
        <v>0.21210000000000001</v>
      </c>
      <c r="M639">
        <v>0.74</v>
      </c>
      <c r="N639">
        <v>8.9599999999999999E-2</v>
      </c>
      <c r="O639">
        <v>1</v>
      </c>
      <c r="P639">
        <v>42</v>
      </c>
      <c r="Q639">
        <v>43</v>
      </c>
    </row>
    <row r="640" spans="1:17" x14ac:dyDescent="0.3">
      <c r="A640">
        <v>639</v>
      </c>
      <c r="B640" s="4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>
        <v>0.18</v>
      </c>
      <c r="L640">
        <v>0.21210000000000001</v>
      </c>
      <c r="M640">
        <v>0.74</v>
      </c>
      <c r="N640">
        <v>8.9599999999999999E-2</v>
      </c>
      <c r="O640">
        <v>1</v>
      </c>
      <c r="P640">
        <v>35</v>
      </c>
      <c r="Q640">
        <v>36</v>
      </c>
    </row>
    <row r="641" spans="1:17" x14ac:dyDescent="0.3">
      <c r="A641">
        <v>640</v>
      </c>
      <c r="B641" s="4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>
        <v>0.16</v>
      </c>
      <c r="L641">
        <v>0.19700000000000001</v>
      </c>
      <c r="M641">
        <v>0.8</v>
      </c>
      <c r="N641">
        <v>8.9599999999999999E-2</v>
      </c>
      <c r="O641">
        <v>4</v>
      </c>
      <c r="P641">
        <v>28</v>
      </c>
      <c r="Q641">
        <v>32</v>
      </c>
    </row>
    <row r="642" spans="1:17" x14ac:dyDescent="0.3">
      <c r="A642">
        <v>641</v>
      </c>
      <c r="B642" s="4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>
        <v>0.16</v>
      </c>
      <c r="L642">
        <v>0.19700000000000001</v>
      </c>
      <c r="M642">
        <v>0.8</v>
      </c>
      <c r="N642">
        <v>8.9599999999999999E-2</v>
      </c>
      <c r="O642">
        <v>3</v>
      </c>
      <c r="P642">
        <v>30</v>
      </c>
      <c r="Q642">
        <v>33</v>
      </c>
    </row>
    <row r="643" spans="1:17" x14ac:dyDescent="0.3">
      <c r="A643">
        <v>642</v>
      </c>
      <c r="B643" s="4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0.16</v>
      </c>
      <c r="L643">
        <v>0.18179999999999999</v>
      </c>
      <c r="M643">
        <v>0.8</v>
      </c>
      <c r="N643">
        <v>0.1045</v>
      </c>
      <c r="O643">
        <v>0</v>
      </c>
      <c r="P643">
        <v>33</v>
      </c>
      <c r="Q643">
        <v>33</v>
      </c>
    </row>
    <row r="644" spans="1:17" x14ac:dyDescent="0.3">
      <c r="A644">
        <v>643</v>
      </c>
      <c r="B644" s="4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0.14000000000000001</v>
      </c>
      <c r="L644">
        <v>0.21210000000000001</v>
      </c>
      <c r="M644">
        <v>0.8</v>
      </c>
      <c r="N644">
        <v>0</v>
      </c>
      <c r="O644">
        <v>7</v>
      </c>
      <c r="P644">
        <v>22</v>
      </c>
      <c r="Q644">
        <v>29</v>
      </c>
    </row>
    <row r="645" spans="1:17" x14ac:dyDescent="0.3">
      <c r="A645">
        <v>644</v>
      </c>
      <c r="B645" s="4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>
        <v>0.16</v>
      </c>
      <c r="L645">
        <v>0.2273</v>
      </c>
      <c r="M645">
        <v>0.8</v>
      </c>
      <c r="N645">
        <v>0</v>
      </c>
      <c r="O645">
        <v>1</v>
      </c>
      <c r="P645">
        <v>10</v>
      </c>
      <c r="Q645">
        <v>11</v>
      </c>
    </row>
    <row r="646" spans="1:17" x14ac:dyDescent="0.3">
      <c r="A646">
        <v>645</v>
      </c>
      <c r="B646" s="4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>
        <v>0.14000000000000001</v>
      </c>
      <c r="L646">
        <v>0.21210000000000001</v>
      </c>
      <c r="M646">
        <v>0.93</v>
      </c>
      <c r="N646">
        <v>0</v>
      </c>
      <c r="O646">
        <v>1</v>
      </c>
      <c r="P646">
        <v>7</v>
      </c>
      <c r="Q646">
        <v>8</v>
      </c>
    </row>
    <row r="647" spans="1:17" x14ac:dyDescent="0.3">
      <c r="A647">
        <v>646</v>
      </c>
      <c r="B647" s="4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0.14000000000000001</v>
      </c>
      <c r="L647">
        <v>0.21210000000000001</v>
      </c>
      <c r="M647">
        <v>0.93</v>
      </c>
      <c r="N647">
        <v>0</v>
      </c>
      <c r="O647">
        <v>0</v>
      </c>
      <c r="P647">
        <v>1</v>
      </c>
      <c r="Q647">
        <v>1</v>
      </c>
    </row>
    <row r="648" spans="1:17" x14ac:dyDescent="0.3">
      <c r="A648">
        <v>647</v>
      </c>
      <c r="B648" s="4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>
        <v>0.14000000000000001</v>
      </c>
      <c r="L648">
        <v>0.21210000000000001</v>
      </c>
      <c r="M648">
        <v>0.86</v>
      </c>
      <c r="N648">
        <v>0</v>
      </c>
      <c r="O648">
        <v>0</v>
      </c>
      <c r="P648">
        <v>3</v>
      </c>
      <c r="Q648">
        <v>3</v>
      </c>
    </row>
    <row r="649" spans="1:17" x14ac:dyDescent="0.3">
      <c r="A649">
        <v>648</v>
      </c>
      <c r="B649" s="4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>
        <v>0.14000000000000001</v>
      </c>
      <c r="L649">
        <v>0.21210000000000001</v>
      </c>
      <c r="M649">
        <v>0.86</v>
      </c>
      <c r="N649">
        <v>0</v>
      </c>
      <c r="O649">
        <v>0</v>
      </c>
      <c r="P649">
        <v>3</v>
      </c>
      <c r="Q649">
        <v>3</v>
      </c>
    </row>
    <row r="650" spans="1:17" x14ac:dyDescent="0.3">
      <c r="A650">
        <v>649</v>
      </c>
      <c r="B650" s="4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>
        <v>0.14000000000000001</v>
      </c>
      <c r="L650">
        <v>0.21210000000000001</v>
      </c>
      <c r="M650">
        <v>0.86</v>
      </c>
      <c r="N650">
        <v>0</v>
      </c>
      <c r="O650">
        <v>1</v>
      </c>
      <c r="P650">
        <v>11</v>
      </c>
      <c r="Q650">
        <v>12</v>
      </c>
    </row>
    <row r="651" spans="1:17" x14ac:dyDescent="0.3">
      <c r="A651">
        <v>650</v>
      </c>
      <c r="B651" s="4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>
        <v>0.16</v>
      </c>
      <c r="L651">
        <v>0.2273</v>
      </c>
      <c r="M651">
        <v>0.8</v>
      </c>
      <c r="N651">
        <v>0</v>
      </c>
      <c r="O651">
        <v>4</v>
      </c>
      <c r="P651">
        <v>34</v>
      </c>
      <c r="Q651">
        <v>38</v>
      </c>
    </row>
    <row r="652" spans="1:17" x14ac:dyDescent="0.3">
      <c r="A652">
        <v>651</v>
      </c>
      <c r="B652" s="4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>
        <v>0.18</v>
      </c>
      <c r="L652">
        <v>0.2424</v>
      </c>
      <c r="M652">
        <v>0.8</v>
      </c>
      <c r="N652">
        <v>0</v>
      </c>
      <c r="O652">
        <v>7</v>
      </c>
      <c r="P652">
        <v>57</v>
      </c>
      <c r="Q652">
        <v>64</v>
      </c>
    </row>
    <row r="653" spans="1:17" x14ac:dyDescent="0.3">
      <c r="A653">
        <v>652</v>
      </c>
      <c r="B653" s="4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>
        <v>0.22</v>
      </c>
      <c r="L653">
        <v>0.2727</v>
      </c>
      <c r="M653">
        <v>0.75</v>
      </c>
      <c r="N653">
        <v>0</v>
      </c>
      <c r="O653">
        <v>9</v>
      </c>
      <c r="P653">
        <v>50</v>
      </c>
      <c r="Q653">
        <v>59</v>
      </c>
    </row>
    <row r="654" spans="1:17" x14ac:dyDescent="0.3">
      <c r="A654">
        <v>653</v>
      </c>
      <c r="B654" s="4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>
        <v>0.3</v>
      </c>
      <c r="L654">
        <v>0.31819999999999998</v>
      </c>
      <c r="M654">
        <v>0.52</v>
      </c>
      <c r="N654">
        <v>0.1045</v>
      </c>
      <c r="O654">
        <v>10</v>
      </c>
      <c r="P654">
        <v>87</v>
      </c>
      <c r="Q654">
        <v>97</v>
      </c>
    </row>
    <row r="655" spans="1:17" x14ac:dyDescent="0.3">
      <c r="A655">
        <v>654</v>
      </c>
      <c r="B655" s="4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>
        <v>0.28000000000000003</v>
      </c>
      <c r="L655">
        <v>0.28789999999999999</v>
      </c>
      <c r="M655">
        <v>0.61</v>
      </c>
      <c r="N655">
        <v>0.1045</v>
      </c>
      <c r="O655">
        <v>13</v>
      </c>
      <c r="P655">
        <v>71</v>
      </c>
      <c r="Q655">
        <v>84</v>
      </c>
    </row>
    <row r="656" spans="1:17" x14ac:dyDescent="0.3">
      <c r="A656">
        <v>655</v>
      </c>
      <c r="B656" s="4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>
        <v>0.28000000000000003</v>
      </c>
      <c r="L656">
        <v>0.30299999999999999</v>
      </c>
      <c r="M656">
        <v>0.61</v>
      </c>
      <c r="N656">
        <v>8.9599999999999999E-2</v>
      </c>
      <c r="O656">
        <v>18</v>
      </c>
      <c r="P656">
        <v>104</v>
      </c>
      <c r="Q656">
        <v>122</v>
      </c>
    </row>
    <row r="657" spans="1:17" x14ac:dyDescent="0.3">
      <c r="A657">
        <v>656</v>
      </c>
      <c r="B657" s="4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>
        <v>0.3</v>
      </c>
      <c r="L657">
        <v>0.33329999999999999</v>
      </c>
      <c r="M657">
        <v>0.56000000000000005</v>
      </c>
      <c r="N657">
        <v>0</v>
      </c>
      <c r="O657">
        <v>14</v>
      </c>
      <c r="P657">
        <v>95</v>
      </c>
      <c r="Q657">
        <v>109</v>
      </c>
    </row>
    <row r="658" spans="1:17" x14ac:dyDescent="0.3">
      <c r="A658">
        <v>657</v>
      </c>
      <c r="B658" s="4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>
        <v>0.3</v>
      </c>
      <c r="L658">
        <v>0.33329999999999999</v>
      </c>
      <c r="M658">
        <v>0.56000000000000005</v>
      </c>
      <c r="N658">
        <v>0</v>
      </c>
      <c r="O658">
        <v>19</v>
      </c>
      <c r="P658">
        <v>104</v>
      </c>
      <c r="Q658">
        <v>123</v>
      </c>
    </row>
    <row r="659" spans="1:17" x14ac:dyDescent="0.3">
      <c r="A659">
        <v>658</v>
      </c>
      <c r="B659" s="4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>
        <v>0.3</v>
      </c>
      <c r="L659">
        <v>0.28789999999999999</v>
      </c>
      <c r="M659">
        <v>0.56000000000000005</v>
      </c>
      <c r="N659">
        <v>0.19400000000000001</v>
      </c>
      <c r="O659">
        <v>6</v>
      </c>
      <c r="P659">
        <v>71</v>
      </c>
      <c r="Q659">
        <v>77</v>
      </c>
    </row>
    <row r="660" spans="1:17" x14ac:dyDescent="0.3">
      <c r="A660">
        <v>659</v>
      </c>
      <c r="B660" s="4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>
        <v>0.26</v>
      </c>
      <c r="L660">
        <v>0.2576</v>
      </c>
      <c r="M660">
        <v>0.65</v>
      </c>
      <c r="N660">
        <v>0.16420000000000001</v>
      </c>
      <c r="O660">
        <v>8</v>
      </c>
      <c r="P660">
        <v>57</v>
      </c>
      <c r="Q660">
        <v>65</v>
      </c>
    </row>
    <row r="661" spans="1:17" x14ac:dyDescent="0.3">
      <c r="A661">
        <v>660</v>
      </c>
      <c r="B661" s="4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>
        <v>0.26</v>
      </c>
      <c r="L661">
        <v>0.2576</v>
      </c>
      <c r="M661">
        <v>0.65</v>
      </c>
      <c r="N661">
        <v>0.19400000000000001</v>
      </c>
      <c r="O661">
        <v>9</v>
      </c>
      <c r="P661">
        <v>46</v>
      </c>
      <c r="Q661">
        <v>55</v>
      </c>
    </row>
    <row r="662" spans="1:17" x14ac:dyDescent="0.3">
      <c r="A662">
        <v>661</v>
      </c>
      <c r="B662" s="4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>
        <v>0.26</v>
      </c>
      <c r="L662">
        <v>0.2727</v>
      </c>
      <c r="M662">
        <v>0.65</v>
      </c>
      <c r="N662">
        <v>0.1045</v>
      </c>
      <c r="O662">
        <v>3</v>
      </c>
      <c r="P662">
        <v>30</v>
      </c>
      <c r="Q662">
        <v>33</v>
      </c>
    </row>
    <row r="663" spans="1:17" x14ac:dyDescent="0.3">
      <c r="A663">
        <v>662</v>
      </c>
      <c r="B663" s="4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>
        <v>0.24</v>
      </c>
      <c r="L663">
        <v>0.2424</v>
      </c>
      <c r="M663">
        <v>0.7</v>
      </c>
      <c r="N663">
        <v>0.16420000000000001</v>
      </c>
      <c r="O663">
        <v>3</v>
      </c>
      <c r="P663">
        <v>25</v>
      </c>
      <c r="Q663">
        <v>28</v>
      </c>
    </row>
    <row r="664" spans="1:17" x14ac:dyDescent="0.3">
      <c r="A664">
        <v>663</v>
      </c>
      <c r="B664" s="4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>
        <v>0.24</v>
      </c>
      <c r="L664">
        <v>0.2273</v>
      </c>
      <c r="M664">
        <v>0.7</v>
      </c>
      <c r="N664">
        <v>0.19400000000000001</v>
      </c>
      <c r="O664">
        <v>2</v>
      </c>
      <c r="P664">
        <v>19</v>
      </c>
      <c r="Q664">
        <v>21</v>
      </c>
    </row>
    <row r="665" spans="1:17" x14ac:dyDescent="0.3">
      <c r="A665">
        <v>664</v>
      </c>
      <c r="B665" s="4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>
        <v>0.24</v>
      </c>
      <c r="L665">
        <v>0.21210000000000001</v>
      </c>
      <c r="M665">
        <v>0.65</v>
      </c>
      <c r="N665">
        <v>0.28360000000000002</v>
      </c>
      <c r="O665">
        <v>5</v>
      </c>
      <c r="P665">
        <v>16</v>
      </c>
      <c r="Q665">
        <v>21</v>
      </c>
    </row>
    <row r="666" spans="1:17" x14ac:dyDescent="0.3">
      <c r="A666">
        <v>665</v>
      </c>
      <c r="B666" s="4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>
        <v>0.24</v>
      </c>
      <c r="L666">
        <v>0.2273</v>
      </c>
      <c r="M666">
        <v>0.65</v>
      </c>
      <c r="N666">
        <v>0.22389999999999999</v>
      </c>
      <c r="O666">
        <v>1</v>
      </c>
      <c r="P666">
        <v>6</v>
      </c>
      <c r="Q666">
        <v>7</v>
      </c>
    </row>
    <row r="667" spans="1:17" x14ac:dyDescent="0.3">
      <c r="A667">
        <v>666</v>
      </c>
      <c r="B667" s="4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0.22</v>
      </c>
      <c r="L667">
        <v>0.21210000000000001</v>
      </c>
      <c r="M667">
        <v>0.64</v>
      </c>
      <c r="N667">
        <v>0.25369999999999998</v>
      </c>
      <c r="O667">
        <v>2</v>
      </c>
      <c r="P667">
        <v>5</v>
      </c>
      <c r="Q667">
        <v>7</v>
      </c>
    </row>
    <row r="668" spans="1:17" x14ac:dyDescent="0.3">
      <c r="A668">
        <v>667</v>
      </c>
      <c r="B668" s="4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0.22</v>
      </c>
      <c r="L668">
        <v>0.2273</v>
      </c>
      <c r="M668">
        <v>0.64</v>
      </c>
      <c r="N668">
        <v>0.19400000000000001</v>
      </c>
      <c r="O668">
        <v>0</v>
      </c>
      <c r="P668">
        <v>1</v>
      </c>
      <c r="Q668">
        <v>1</v>
      </c>
    </row>
    <row r="669" spans="1:17" x14ac:dyDescent="0.3">
      <c r="A669">
        <v>668</v>
      </c>
      <c r="B669" s="4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>
        <v>0.22</v>
      </c>
      <c r="L669">
        <v>0.2273</v>
      </c>
      <c r="M669">
        <v>0.64</v>
      </c>
      <c r="N669">
        <v>0.19400000000000001</v>
      </c>
      <c r="O669">
        <v>0</v>
      </c>
      <c r="P669">
        <v>2</v>
      </c>
      <c r="Q669">
        <v>2</v>
      </c>
    </row>
    <row r="670" spans="1:17" x14ac:dyDescent="0.3">
      <c r="A670">
        <v>669</v>
      </c>
      <c r="B670" s="4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>
        <v>0.2</v>
      </c>
      <c r="L670">
        <v>0.19700000000000001</v>
      </c>
      <c r="M670">
        <v>0.59</v>
      </c>
      <c r="N670">
        <v>0.22389999999999999</v>
      </c>
      <c r="O670">
        <v>0</v>
      </c>
      <c r="P670">
        <v>2</v>
      </c>
      <c r="Q670">
        <v>2</v>
      </c>
    </row>
    <row r="671" spans="1:17" x14ac:dyDescent="0.3">
      <c r="A671">
        <v>670</v>
      </c>
      <c r="B671" s="4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>
        <v>0.18</v>
      </c>
      <c r="L671">
        <v>0.16669999999999999</v>
      </c>
      <c r="M671">
        <v>0.64</v>
      </c>
      <c r="N671">
        <v>0.28360000000000002</v>
      </c>
      <c r="O671">
        <v>0</v>
      </c>
      <c r="P671">
        <v>8</v>
      </c>
      <c r="Q671">
        <v>8</v>
      </c>
    </row>
    <row r="672" spans="1:17" x14ac:dyDescent="0.3">
      <c r="A672">
        <v>671</v>
      </c>
      <c r="B672" s="4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0.16</v>
      </c>
      <c r="L672">
        <v>0.13639999999999999</v>
      </c>
      <c r="M672">
        <v>0.69</v>
      </c>
      <c r="N672">
        <v>0.32840000000000003</v>
      </c>
      <c r="O672">
        <v>0</v>
      </c>
      <c r="P672">
        <v>37</v>
      </c>
      <c r="Q672">
        <v>37</v>
      </c>
    </row>
    <row r="673" spans="1:17" x14ac:dyDescent="0.3">
      <c r="A673">
        <v>672</v>
      </c>
      <c r="B673" s="4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>
        <v>0.16</v>
      </c>
      <c r="L673">
        <v>0.13639999999999999</v>
      </c>
      <c r="M673">
        <v>0.64</v>
      </c>
      <c r="N673">
        <v>0.28360000000000002</v>
      </c>
      <c r="O673">
        <v>1</v>
      </c>
      <c r="P673">
        <v>71</v>
      </c>
      <c r="Q673">
        <v>72</v>
      </c>
    </row>
    <row r="674" spans="1:17" x14ac:dyDescent="0.3">
      <c r="A674">
        <v>673</v>
      </c>
      <c r="B674" s="4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>
        <v>0.16</v>
      </c>
      <c r="L674">
        <v>0.13639999999999999</v>
      </c>
      <c r="M674">
        <v>0.59</v>
      </c>
      <c r="N674">
        <v>0.28360000000000002</v>
      </c>
      <c r="O674">
        <v>3</v>
      </c>
      <c r="P674">
        <v>182</v>
      </c>
      <c r="Q674">
        <v>185</v>
      </c>
    </row>
    <row r="675" spans="1:17" x14ac:dyDescent="0.3">
      <c r="A675">
        <v>674</v>
      </c>
      <c r="B675" s="4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>
        <v>0.16</v>
      </c>
      <c r="L675">
        <v>0.13639999999999999</v>
      </c>
      <c r="M675">
        <v>0.59</v>
      </c>
      <c r="N675">
        <v>0.29849999999999999</v>
      </c>
      <c r="O675">
        <v>0</v>
      </c>
      <c r="P675">
        <v>112</v>
      </c>
      <c r="Q675">
        <v>112</v>
      </c>
    </row>
    <row r="676" spans="1:17" x14ac:dyDescent="0.3">
      <c r="A676">
        <v>675</v>
      </c>
      <c r="B676" s="4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>
        <v>0.16</v>
      </c>
      <c r="L676">
        <v>0.1515</v>
      </c>
      <c r="M676">
        <v>0.59</v>
      </c>
      <c r="N676">
        <v>0.19400000000000001</v>
      </c>
      <c r="O676">
        <v>1</v>
      </c>
      <c r="P676">
        <v>68</v>
      </c>
      <c r="Q676">
        <v>69</v>
      </c>
    </row>
    <row r="677" spans="1:17" x14ac:dyDescent="0.3">
      <c r="A677">
        <v>676</v>
      </c>
      <c r="B677" s="4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>
        <v>0.16</v>
      </c>
      <c r="L677">
        <v>0.1515</v>
      </c>
      <c r="M677">
        <v>0.59</v>
      </c>
      <c r="N677">
        <v>0.19400000000000001</v>
      </c>
      <c r="O677">
        <v>2</v>
      </c>
      <c r="P677">
        <v>46</v>
      </c>
      <c r="Q677">
        <v>48</v>
      </c>
    </row>
    <row r="678" spans="1:17" x14ac:dyDescent="0.3">
      <c r="A678">
        <v>677</v>
      </c>
      <c r="B678" s="4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>
        <v>0.18</v>
      </c>
      <c r="L678">
        <v>0.21210000000000001</v>
      </c>
      <c r="M678">
        <v>0.55000000000000004</v>
      </c>
      <c r="N678">
        <v>0.1045</v>
      </c>
      <c r="O678">
        <v>6</v>
      </c>
      <c r="P678">
        <v>62</v>
      </c>
      <c r="Q678">
        <v>68</v>
      </c>
    </row>
    <row r="679" spans="1:17" x14ac:dyDescent="0.3">
      <c r="A679">
        <v>678</v>
      </c>
      <c r="B679" s="4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>
        <v>0.16</v>
      </c>
      <c r="L679">
        <v>0.2273</v>
      </c>
      <c r="M679">
        <v>0.59</v>
      </c>
      <c r="N679">
        <v>0</v>
      </c>
      <c r="O679">
        <v>2</v>
      </c>
      <c r="P679">
        <v>52</v>
      </c>
      <c r="Q679">
        <v>54</v>
      </c>
    </row>
    <row r="680" spans="1:17" x14ac:dyDescent="0.3">
      <c r="A680">
        <v>679</v>
      </c>
      <c r="B680" s="4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>
        <v>0.18</v>
      </c>
      <c r="L680">
        <v>0.19700000000000001</v>
      </c>
      <c r="M680">
        <v>0.55000000000000004</v>
      </c>
      <c r="N680">
        <v>0.1343</v>
      </c>
      <c r="O680">
        <v>1</v>
      </c>
      <c r="P680">
        <v>85</v>
      </c>
      <c r="Q680">
        <v>86</v>
      </c>
    </row>
    <row r="681" spans="1:17" x14ac:dyDescent="0.3">
      <c r="A681">
        <v>680</v>
      </c>
      <c r="B681" s="4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>
        <v>0.16</v>
      </c>
      <c r="L681">
        <v>0.18179999999999999</v>
      </c>
      <c r="M681">
        <v>0.59</v>
      </c>
      <c r="N681">
        <v>0.1343</v>
      </c>
      <c r="O681">
        <v>3</v>
      </c>
      <c r="P681">
        <v>41</v>
      </c>
      <c r="Q681">
        <v>44</v>
      </c>
    </row>
    <row r="682" spans="1:17" x14ac:dyDescent="0.3">
      <c r="A682">
        <v>681</v>
      </c>
      <c r="B682" s="4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>
        <v>0.16</v>
      </c>
      <c r="L682">
        <v>0.18179999999999999</v>
      </c>
      <c r="M682">
        <v>0.56000000000000005</v>
      </c>
      <c r="N682">
        <v>0.19400000000000001</v>
      </c>
      <c r="O682">
        <v>3</v>
      </c>
      <c r="P682">
        <v>83</v>
      </c>
      <c r="Q682">
        <v>86</v>
      </c>
    </row>
    <row r="683" spans="1:17" x14ac:dyDescent="0.3">
      <c r="A683">
        <v>682</v>
      </c>
      <c r="B683" s="4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>
        <v>0.16</v>
      </c>
      <c r="L683">
        <v>0.1515</v>
      </c>
      <c r="M683">
        <v>0.59</v>
      </c>
      <c r="N683">
        <v>0.19400000000000001</v>
      </c>
      <c r="O683">
        <v>6</v>
      </c>
      <c r="P683">
        <v>155</v>
      </c>
      <c r="Q683">
        <v>161</v>
      </c>
    </row>
    <row r="684" spans="1:17" x14ac:dyDescent="0.3">
      <c r="A684">
        <v>683</v>
      </c>
      <c r="B684" s="4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>
        <v>0.16</v>
      </c>
      <c r="L684">
        <v>0.1515</v>
      </c>
      <c r="M684">
        <v>0.55000000000000004</v>
      </c>
      <c r="N684">
        <v>0.22389999999999999</v>
      </c>
      <c r="O684">
        <v>3</v>
      </c>
      <c r="P684">
        <v>153</v>
      </c>
      <c r="Q684">
        <v>156</v>
      </c>
    </row>
    <row r="685" spans="1:17" x14ac:dyDescent="0.3">
      <c r="A685">
        <v>684</v>
      </c>
      <c r="B685" s="4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>
        <v>0.3</v>
      </c>
      <c r="L685">
        <v>0.31819999999999998</v>
      </c>
      <c r="M685">
        <v>0.61</v>
      </c>
      <c r="N685">
        <v>0.1045</v>
      </c>
      <c r="O685">
        <v>3</v>
      </c>
      <c r="P685">
        <v>108</v>
      </c>
      <c r="Q685">
        <v>111</v>
      </c>
    </row>
    <row r="686" spans="1:17" x14ac:dyDescent="0.3">
      <c r="A686">
        <v>685</v>
      </c>
      <c r="B686" s="4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>
        <v>0.16</v>
      </c>
      <c r="L686">
        <v>0.16669999999999999</v>
      </c>
      <c r="M686">
        <v>0.59</v>
      </c>
      <c r="N686">
        <v>0.16420000000000001</v>
      </c>
      <c r="O686">
        <v>0</v>
      </c>
      <c r="P686">
        <v>78</v>
      </c>
      <c r="Q686">
        <v>78</v>
      </c>
    </row>
    <row r="687" spans="1:17" x14ac:dyDescent="0.3">
      <c r="A687">
        <v>686</v>
      </c>
      <c r="B687" s="4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>
        <v>0.16</v>
      </c>
      <c r="L687">
        <v>0.19700000000000001</v>
      </c>
      <c r="M687">
        <v>0.59</v>
      </c>
      <c r="N687">
        <v>8.9599999999999999E-2</v>
      </c>
      <c r="O687">
        <v>3</v>
      </c>
      <c r="P687">
        <v>53</v>
      </c>
      <c r="Q687">
        <v>56</v>
      </c>
    </row>
    <row r="688" spans="1:17" x14ac:dyDescent="0.3">
      <c r="A688">
        <v>687</v>
      </c>
      <c r="B688" s="4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>
        <v>0.16</v>
      </c>
      <c r="L688">
        <v>0.18179999999999999</v>
      </c>
      <c r="M688">
        <v>0.59</v>
      </c>
      <c r="N688">
        <v>0.1045</v>
      </c>
      <c r="O688">
        <v>0</v>
      </c>
      <c r="P688">
        <v>34</v>
      </c>
      <c r="Q688">
        <v>34</v>
      </c>
    </row>
    <row r="689" spans="1:17" x14ac:dyDescent="0.3">
      <c r="A689">
        <v>688</v>
      </c>
      <c r="B689" s="4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>
        <v>0.16</v>
      </c>
      <c r="L689">
        <v>0.19700000000000001</v>
      </c>
      <c r="M689">
        <v>0.64</v>
      </c>
      <c r="N689">
        <v>8.9599999999999999E-2</v>
      </c>
      <c r="O689">
        <v>2</v>
      </c>
      <c r="P689">
        <v>15</v>
      </c>
      <c r="Q689">
        <v>17</v>
      </c>
    </row>
    <row r="690" spans="1:17" x14ac:dyDescent="0.3">
      <c r="A690">
        <v>689</v>
      </c>
      <c r="B690" s="4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>
        <v>0.16</v>
      </c>
      <c r="L690">
        <v>0.18179999999999999</v>
      </c>
      <c r="M690">
        <v>0.64</v>
      </c>
      <c r="N690">
        <v>0.1045</v>
      </c>
      <c r="O690">
        <v>2</v>
      </c>
      <c r="P690">
        <v>6</v>
      </c>
      <c r="Q690">
        <v>8</v>
      </c>
    </row>
    <row r="691" spans="1:17" x14ac:dyDescent="0.3">
      <c r="A691">
        <v>690</v>
      </c>
      <c r="B691" s="4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>
        <v>0.16</v>
      </c>
      <c r="L691">
        <v>0.18179999999999999</v>
      </c>
      <c r="M691">
        <v>0.69</v>
      </c>
      <c r="N691">
        <v>0.1045</v>
      </c>
      <c r="O691">
        <v>0</v>
      </c>
      <c r="P691">
        <v>3</v>
      </c>
      <c r="Q691">
        <v>3</v>
      </c>
    </row>
    <row r="692" spans="1:17" x14ac:dyDescent="0.3">
      <c r="A692">
        <v>691</v>
      </c>
      <c r="B692" s="4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>
        <v>0.16</v>
      </c>
      <c r="L692">
        <v>0.2273</v>
      </c>
      <c r="M692">
        <v>0.69</v>
      </c>
      <c r="N692">
        <v>0</v>
      </c>
      <c r="O692">
        <v>0</v>
      </c>
      <c r="P692">
        <v>2</v>
      </c>
      <c r="Q692">
        <v>2</v>
      </c>
    </row>
    <row r="693" spans="1:17" x14ac:dyDescent="0.3">
      <c r="A693">
        <v>692</v>
      </c>
      <c r="B693" s="4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>
        <v>0.16</v>
      </c>
      <c r="L693">
        <v>0.2273</v>
      </c>
      <c r="M693">
        <v>0.69</v>
      </c>
      <c r="N693">
        <v>0</v>
      </c>
      <c r="O693">
        <v>0</v>
      </c>
      <c r="P693">
        <v>2</v>
      </c>
      <c r="Q693">
        <v>2</v>
      </c>
    </row>
    <row r="694" spans="1:17" x14ac:dyDescent="0.3">
      <c r="A694">
        <v>693</v>
      </c>
      <c r="B694" s="4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>
        <v>0.14000000000000001</v>
      </c>
      <c r="L694">
        <v>0.21210000000000001</v>
      </c>
      <c r="M694">
        <v>0.93</v>
      </c>
      <c r="N694">
        <v>0</v>
      </c>
      <c r="O694">
        <v>0</v>
      </c>
      <c r="P694">
        <v>3</v>
      </c>
      <c r="Q694">
        <v>3</v>
      </c>
    </row>
    <row r="695" spans="1:17" x14ac:dyDescent="0.3">
      <c r="A695">
        <v>694</v>
      </c>
      <c r="B695" s="4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>
        <v>0.14000000000000001</v>
      </c>
      <c r="L695">
        <v>0.21210000000000001</v>
      </c>
      <c r="M695">
        <v>0.93</v>
      </c>
      <c r="N695">
        <v>0</v>
      </c>
      <c r="O695">
        <v>0</v>
      </c>
      <c r="P695">
        <v>22</v>
      </c>
      <c r="Q695">
        <v>22</v>
      </c>
    </row>
    <row r="696" spans="1:17" x14ac:dyDescent="0.3">
      <c r="A696">
        <v>695</v>
      </c>
      <c r="B696" s="4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>
        <v>0.16</v>
      </c>
      <c r="L696">
        <v>0.2273</v>
      </c>
      <c r="M696">
        <v>0.93</v>
      </c>
      <c r="N696">
        <v>0</v>
      </c>
      <c r="O696">
        <v>0</v>
      </c>
      <c r="P696">
        <v>52</v>
      </c>
      <c r="Q696">
        <v>52</v>
      </c>
    </row>
    <row r="697" spans="1:17" x14ac:dyDescent="0.3">
      <c r="A697">
        <v>696</v>
      </c>
      <c r="B697" s="4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>
        <v>0.16</v>
      </c>
      <c r="L697">
        <v>0.2273</v>
      </c>
      <c r="M697">
        <v>0.93</v>
      </c>
      <c r="N697">
        <v>0</v>
      </c>
      <c r="O697">
        <v>3</v>
      </c>
      <c r="P697">
        <v>132</v>
      </c>
      <c r="Q697">
        <v>135</v>
      </c>
    </row>
    <row r="698" spans="1:17" x14ac:dyDescent="0.3">
      <c r="A698">
        <v>697</v>
      </c>
      <c r="B698" s="4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>
        <v>0.16</v>
      </c>
      <c r="L698">
        <v>0.2273</v>
      </c>
      <c r="M698">
        <v>0.93</v>
      </c>
      <c r="N698">
        <v>0</v>
      </c>
      <c r="O698">
        <v>2</v>
      </c>
      <c r="P698">
        <v>114</v>
      </c>
      <c r="Q698">
        <v>116</v>
      </c>
    </row>
    <row r="699" spans="1:17" x14ac:dyDescent="0.3">
      <c r="A699">
        <v>698</v>
      </c>
      <c r="B699" s="4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>
        <v>0.16</v>
      </c>
      <c r="L699">
        <v>0.2273</v>
      </c>
      <c r="M699">
        <v>0.93</v>
      </c>
      <c r="N699">
        <v>0</v>
      </c>
      <c r="O699">
        <v>0</v>
      </c>
      <c r="P699">
        <v>47</v>
      </c>
      <c r="Q699">
        <v>47</v>
      </c>
    </row>
    <row r="700" spans="1:17" x14ac:dyDescent="0.3">
      <c r="A700">
        <v>699</v>
      </c>
      <c r="B700" s="4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>
        <v>0.18</v>
      </c>
      <c r="L700">
        <v>0.2424</v>
      </c>
      <c r="M700">
        <v>0.86</v>
      </c>
      <c r="N700">
        <v>0</v>
      </c>
      <c r="O700">
        <v>2</v>
      </c>
      <c r="P700">
        <v>49</v>
      </c>
      <c r="Q700">
        <v>51</v>
      </c>
    </row>
    <row r="701" spans="1:17" x14ac:dyDescent="0.3">
      <c r="A701">
        <v>700</v>
      </c>
      <c r="B701" s="4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>
        <v>0.2</v>
      </c>
      <c r="L701">
        <v>0.2576</v>
      </c>
      <c r="M701">
        <v>0.86</v>
      </c>
      <c r="N701">
        <v>0</v>
      </c>
      <c r="O701">
        <v>2</v>
      </c>
      <c r="P701">
        <v>53</v>
      </c>
      <c r="Q701">
        <v>55</v>
      </c>
    </row>
    <row r="702" spans="1:17" x14ac:dyDescent="0.3">
      <c r="A702">
        <v>701</v>
      </c>
      <c r="B702" s="4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>
        <v>0.2</v>
      </c>
      <c r="L702">
        <v>0.2576</v>
      </c>
      <c r="M702">
        <v>0.86</v>
      </c>
      <c r="N702">
        <v>0</v>
      </c>
      <c r="O702">
        <v>3</v>
      </c>
      <c r="P702">
        <v>49</v>
      </c>
      <c r="Q702">
        <v>52</v>
      </c>
    </row>
    <row r="703" spans="1:17" x14ac:dyDescent="0.3">
      <c r="A703">
        <v>702</v>
      </c>
      <c r="B703" s="4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>
        <v>0.22</v>
      </c>
      <c r="L703">
        <v>0.2576</v>
      </c>
      <c r="M703">
        <v>0.8</v>
      </c>
      <c r="N703">
        <v>8.9599999999999999E-2</v>
      </c>
      <c r="O703">
        <v>5</v>
      </c>
      <c r="P703">
        <v>49</v>
      </c>
      <c r="Q703">
        <v>54</v>
      </c>
    </row>
    <row r="704" spans="1:17" x14ac:dyDescent="0.3">
      <c r="A704">
        <v>703</v>
      </c>
      <c r="B704" s="4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>
        <v>0.24</v>
      </c>
      <c r="L704">
        <v>0.28789999999999999</v>
      </c>
      <c r="M704">
        <v>0.75</v>
      </c>
      <c r="N704">
        <v>0</v>
      </c>
      <c r="O704">
        <v>7</v>
      </c>
      <c r="P704">
        <v>45</v>
      </c>
      <c r="Q704">
        <v>52</v>
      </c>
    </row>
    <row r="705" spans="1:17" x14ac:dyDescent="0.3">
      <c r="A705">
        <v>704</v>
      </c>
      <c r="B705" s="4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>
        <v>0.24</v>
      </c>
      <c r="L705">
        <v>0.2424</v>
      </c>
      <c r="M705">
        <v>0.75</v>
      </c>
      <c r="N705">
        <v>0.1343</v>
      </c>
      <c r="O705">
        <v>3</v>
      </c>
      <c r="P705">
        <v>61</v>
      </c>
      <c r="Q705">
        <v>64</v>
      </c>
    </row>
    <row r="706" spans="1:17" x14ac:dyDescent="0.3">
      <c r="A706">
        <v>705</v>
      </c>
      <c r="B706" s="4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>
        <v>0.24</v>
      </c>
      <c r="L706">
        <v>0.28789999999999999</v>
      </c>
      <c r="M706">
        <v>0.75</v>
      </c>
      <c r="N706">
        <v>0</v>
      </c>
      <c r="O706">
        <v>4</v>
      </c>
      <c r="P706">
        <v>172</v>
      </c>
      <c r="Q706">
        <v>176</v>
      </c>
    </row>
    <row r="707" spans="1:17" x14ac:dyDescent="0.3">
      <c r="A707">
        <v>706</v>
      </c>
      <c r="B707" s="4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>
        <v>0.24</v>
      </c>
      <c r="L707">
        <v>0.2576</v>
      </c>
      <c r="M707">
        <v>0.81</v>
      </c>
      <c r="N707">
        <v>0.1045</v>
      </c>
      <c r="O707">
        <v>3</v>
      </c>
      <c r="P707">
        <v>165</v>
      </c>
      <c r="Q707">
        <v>168</v>
      </c>
    </row>
    <row r="708" spans="1:17" x14ac:dyDescent="0.3">
      <c r="A708">
        <v>707</v>
      </c>
      <c r="B708" s="4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>
        <v>0.24</v>
      </c>
      <c r="L708">
        <v>0.2424</v>
      </c>
      <c r="M708">
        <v>0.81</v>
      </c>
      <c r="N708">
        <v>0.1343</v>
      </c>
      <c r="O708">
        <v>3</v>
      </c>
      <c r="P708">
        <v>105</v>
      </c>
      <c r="Q708">
        <v>108</v>
      </c>
    </row>
    <row r="709" spans="1:17" x14ac:dyDescent="0.3">
      <c r="A709">
        <v>708</v>
      </c>
      <c r="B709" s="4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>
        <v>0.22</v>
      </c>
      <c r="L709">
        <v>0.2273</v>
      </c>
      <c r="M709">
        <v>0.87</v>
      </c>
      <c r="N709">
        <v>0.1343</v>
      </c>
      <c r="O709">
        <v>5</v>
      </c>
      <c r="P709">
        <v>69</v>
      </c>
      <c r="Q709">
        <v>74</v>
      </c>
    </row>
    <row r="710" spans="1:17" x14ac:dyDescent="0.3">
      <c r="A710">
        <v>709</v>
      </c>
      <c r="B710" s="4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>
        <v>0.22</v>
      </c>
      <c r="L710">
        <v>0.2273</v>
      </c>
      <c r="M710">
        <v>0.87</v>
      </c>
      <c r="N710">
        <v>0.1343</v>
      </c>
      <c r="O710">
        <v>0</v>
      </c>
      <c r="P710">
        <v>64</v>
      </c>
      <c r="Q710">
        <v>64</v>
      </c>
    </row>
    <row r="711" spans="1:17" x14ac:dyDescent="0.3">
      <c r="A711">
        <v>710</v>
      </c>
      <c r="B711" s="4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>
        <v>0.22</v>
      </c>
      <c r="L711">
        <v>0.2576</v>
      </c>
      <c r="M711">
        <v>0.87</v>
      </c>
      <c r="N711">
        <v>8.9599999999999999E-2</v>
      </c>
      <c r="O711">
        <v>2</v>
      </c>
      <c r="P711">
        <v>34</v>
      </c>
      <c r="Q711">
        <v>36</v>
      </c>
    </row>
    <row r="712" spans="1:17" x14ac:dyDescent="0.3">
      <c r="A712">
        <v>711</v>
      </c>
      <c r="B712" s="4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>
        <v>0.2</v>
      </c>
      <c r="L712">
        <v>0.19700000000000001</v>
      </c>
      <c r="M712">
        <v>0.93</v>
      </c>
      <c r="N712">
        <v>0.19400000000000001</v>
      </c>
      <c r="O712">
        <v>1</v>
      </c>
      <c r="P712">
        <v>15</v>
      </c>
      <c r="Q712">
        <v>16</v>
      </c>
    </row>
    <row r="713" spans="1:17" x14ac:dyDescent="0.3">
      <c r="A713">
        <v>712</v>
      </c>
      <c r="B713" s="4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>
        <v>0.22</v>
      </c>
      <c r="L713">
        <v>0.2424</v>
      </c>
      <c r="M713">
        <v>0.93</v>
      </c>
      <c r="N713">
        <v>0.1045</v>
      </c>
      <c r="O713">
        <v>0</v>
      </c>
      <c r="P713">
        <v>2</v>
      </c>
      <c r="Q713">
        <v>2</v>
      </c>
    </row>
    <row r="714" spans="1:17" x14ac:dyDescent="0.3">
      <c r="A714">
        <v>713</v>
      </c>
      <c r="B714" s="4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>
        <v>0.22</v>
      </c>
      <c r="L714">
        <v>0.2273</v>
      </c>
      <c r="M714">
        <v>0.93</v>
      </c>
      <c r="N714">
        <v>0.19400000000000001</v>
      </c>
      <c r="O714">
        <v>0</v>
      </c>
      <c r="P714">
        <v>3</v>
      </c>
      <c r="Q714">
        <v>3</v>
      </c>
    </row>
    <row r="715" spans="1:17" x14ac:dyDescent="0.3">
      <c r="A715">
        <v>714</v>
      </c>
      <c r="B715" s="4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>
        <v>0.22</v>
      </c>
      <c r="L715">
        <v>0.2273</v>
      </c>
      <c r="M715">
        <v>0.93</v>
      </c>
      <c r="N715">
        <v>0.1343</v>
      </c>
      <c r="O715">
        <v>4</v>
      </c>
      <c r="P715">
        <v>0</v>
      </c>
      <c r="Q715">
        <v>4</v>
      </c>
    </row>
    <row r="716" spans="1:17" x14ac:dyDescent="0.3">
      <c r="A716">
        <v>715</v>
      </c>
      <c r="B716" s="4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>
        <v>0.22</v>
      </c>
      <c r="L716">
        <v>0.2273</v>
      </c>
      <c r="M716">
        <v>0.93</v>
      </c>
      <c r="N716">
        <v>0.1343</v>
      </c>
      <c r="O716">
        <v>0</v>
      </c>
      <c r="P716">
        <v>1</v>
      </c>
      <c r="Q716">
        <v>1</v>
      </c>
    </row>
    <row r="717" spans="1:17" x14ac:dyDescent="0.3">
      <c r="A717">
        <v>716</v>
      </c>
      <c r="B717" s="4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>
        <v>0.22</v>
      </c>
      <c r="L717">
        <v>0.21210000000000001</v>
      </c>
      <c r="M717">
        <v>0.93</v>
      </c>
      <c r="N717">
        <v>0.28360000000000002</v>
      </c>
      <c r="O717">
        <v>0</v>
      </c>
      <c r="P717">
        <v>1</v>
      </c>
      <c r="Q717">
        <v>1</v>
      </c>
    </row>
    <row r="718" spans="1:17" x14ac:dyDescent="0.3">
      <c r="A718">
        <v>717</v>
      </c>
      <c r="B718" s="4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>
        <v>0.22</v>
      </c>
      <c r="L718">
        <v>0.2424</v>
      </c>
      <c r="M718">
        <v>0.93</v>
      </c>
      <c r="N718">
        <v>0.1045</v>
      </c>
      <c r="O718">
        <v>0</v>
      </c>
      <c r="P718">
        <v>3</v>
      </c>
      <c r="Q718">
        <v>3</v>
      </c>
    </row>
    <row r="719" spans="1:17" x14ac:dyDescent="0.3">
      <c r="A719">
        <v>718</v>
      </c>
      <c r="B719" s="4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>
        <v>0.22</v>
      </c>
      <c r="L719">
        <v>0.2424</v>
      </c>
      <c r="M719">
        <v>0.93</v>
      </c>
      <c r="N719">
        <v>0.1045</v>
      </c>
      <c r="O719">
        <v>1</v>
      </c>
      <c r="P719">
        <v>17</v>
      </c>
      <c r="Q719">
        <v>18</v>
      </c>
    </row>
    <row r="720" spans="1:17" x14ac:dyDescent="0.3">
      <c r="A720">
        <v>719</v>
      </c>
      <c r="B720" s="4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>
        <v>0.22</v>
      </c>
      <c r="L720">
        <v>0.21210000000000001</v>
      </c>
      <c r="M720">
        <v>0.93</v>
      </c>
      <c r="N720">
        <v>0.22389999999999999</v>
      </c>
      <c r="O720">
        <v>1</v>
      </c>
      <c r="P720">
        <v>48</v>
      </c>
      <c r="Q720">
        <v>49</v>
      </c>
    </row>
    <row r="721" spans="1:17" x14ac:dyDescent="0.3">
      <c r="A721">
        <v>720</v>
      </c>
      <c r="B721" s="4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>
        <v>0.22</v>
      </c>
      <c r="L721">
        <v>0.21210000000000001</v>
      </c>
      <c r="M721">
        <v>0.93</v>
      </c>
      <c r="N721">
        <v>0.22389999999999999</v>
      </c>
      <c r="O721">
        <v>1</v>
      </c>
      <c r="P721">
        <v>154</v>
      </c>
      <c r="Q721">
        <v>155</v>
      </c>
    </row>
    <row r="722" spans="1:17" x14ac:dyDescent="0.3">
      <c r="A722">
        <v>721</v>
      </c>
      <c r="B722" s="4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>
        <v>0.24</v>
      </c>
      <c r="L722">
        <v>0.2576</v>
      </c>
      <c r="M722">
        <v>0.93</v>
      </c>
      <c r="N722">
        <v>8.9599999999999999E-2</v>
      </c>
      <c r="O722">
        <v>4</v>
      </c>
      <c r="P722">
        <v>119</v>
      </c>
      <c r="Q722">
        <v>123</v>
      </c>
    </row>
    <row r="723" spans="1:17" x14ac:dyDescent="0.3">
      <c r="A723">
        <v>722</v>
      </c>
      <c r="B723" s="4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>
        <v>0.22</v>
      </c>
      <c r="L723">
        <v>0.2727</v>
      </c>
      <c r="M723">
        <v>1</v>
      </c>
      <c r="N723">
        <v>0</v>
      </c>
      <c r="O723">
        <v>2</v>
      </c>
      <c r="P723">
        <v>59</v>
      </c>
      <c r="Q723">
        <v>61</v>
      </c>
    </row>
    <row r="724" spans="1:17" x14ac:dyDescent="0.3">
      <c r="A724">
        <v>723</v>
      </c>
      <c r="B724" s="4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>
        <v>0.24</v>
      </c>
      <c r="L724">
        <v>0.2273</v>
      </c>
      <c r="M724">
        <v>0.93</v>
      </c>
      <c r="N724">
        <v>0.19400000000000001</v>
      </c>
      <c r="O724">
        <v>5</v>
      </c>
      <c r="P724">
        <v>47</v>
      </c>
      <c r="Q724">
        <v>52</v>
      </c>
    </row>
    <row r="725" spans="1:17" x14ac:dyDescent="0.3">
      <c r="A725">
        <v>724</v>
      </c>
      <c r="B725" s="4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>
        <v>0.24</v>
      </c>
      <c r="L725">
        <v>0.2273</v>
      </c>
      <c r="M725">
        <v>0.93</v>
      </c>
      <c r="N725">
        <v>0.22389999999999999</v>
      </c>
      <c r="O725">
        <v>3</v>
      </c>
      <c r="P725">
        <v>61</v>
      </c>
      <c r="Q725">
        <v>64</v>
      </c>
    </row>
    <row r="726" spans="1:17" x14ac:dyDescent="0.3">
      <c r="A726">
        <v>725</v>
      </c>
      <c r="B726" s="4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>
        <v>0.34</v>
      </c>
      <c r="L726">
        <v>0.33329999999999999</v>
      </c>
      <c r="M726">
        <v>0.93</v>
      </c>
      <c r="N726">
        <v>0.16420000000000001</v>
      </c>
      <c r="O726">
        <v>1</v>
      </c>
      <c r="P726">
        <v>74</v>
      </c>
      <c r="Q726">
        <v>75</v>
      </c>
    </row>
    <row r="727" spans="1:17" x14ac:dyDescent="0.3">
      <c r="A727">
        <v>726</v>
      </c>
      <c r="B727" s="4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>
        <v>0.38</v>
      </c>
      <c r="L727">
        <v>0.39389999999999997</v>
      </c>
      <c r="M727">
        <v>0.82</v>
      </c>
      <c r="N727">
        <v>0.3881</v>
      </c>
      <c r="O727">
        <v>2</v>
      </c>
      <c r="P727">
        <v>61</v>
      </c>
      <c r="Q727">
        <v>63</v>
      </c>
    </row>
    <row r="728" spans="1:17" x14ac:dyDescent="0.3">
      <c r="A728">
        <v>727</v>
      </c>
      <c r="B728" s="4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>
        <v>0.38</v>
      </c>
      <c r="L728">
        <v>0.39389999999999997</v>
      </c>
      <c r="M728">
        <v>0.76</v>
      </c>
      <c r="N728">
        <v>0.32840000000000003</v>
      </c>
      <c r="O728">
        <v>10</v>
      </c>
      <c r="P728">
        <v>66</v>
      </c>
      <c r="Q728">
        <v>76</v>
      </c>
    </row>
    <row r="729" spans="1:17" x14ac:dyDescent="0.3">
      <c r="A729">
        <v>728</v>
      </c>
      <c r="B729" s="4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>
        <v>0.36</v>
      </c>
      <c r="L729">
        <v>0.33329999999999999</v>
      </c>
      <c r="M729">
        <v>0.71</v>
      </c>
      <c r="N729">
        <v>0.29849999999999999</v>
      </c>
      <c r="O729">
        <v>8</v>
      </c>
      <c r="P729">
        <v>95</v>
      </c>
      <c r="Q729">
        <v>103</v>
      </c>
    </row>
    <row r="730" spans="1:17" x14ac:dyDescent="0.3">
      <c r="A730">
        <v>729</v>
      </c>
      <c r="B730" s="4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>
        <v>0.36</v>
      </c>
      <c r="L730">
        <v>0.31819999999999998</v>
      </c>
      <c r="M730">
        <v>0.53</v>
      </c>
      <c r="N730">
        <v>0.52239999999999998</v>
      </c>
      <c r="O730">
        <v>7</v>
      </c>
      <c r="P730">
        <v>183</v>
      </c>
      <c r="Q730">
        <v>190</v>
      </c>
    </row>
    <row r="731" spans="1:17" x14ac:dyDescent="0.3">
      <c r="A731">
        <v>730</v>
      </c>
      <c r="B731" s="4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>
        <v>0.34</v>
      </c>
      <c r="L731">
        <v>0.28789999999999999</v>
      </c>
      <c r="M731">
        <v>0.42</v>
      </c>
      <c r="N731">
        <v>0.55220000000000002</v>
      </c>
      <c r="O731">
        <v>7</v>
      </c>
      <c r="P731">
        <v>175</v>
      </c>
      <c r="Q731">
        <v>182</v>
      </c>
    </row>
    <row r="732" spans="1:17" x14ac:dyDescent="0.3">
      <c r="A732">
        <v>731</v>
      </c>
      <c r="B732" s="4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>
        <v>0.28000000000000003</v>
      </c>
      <c r="L732">
        <v>0.2424</v>
      </c>
      <c r="M732">
        <v>0.45</v>
      </c>
      <c r="N732">
        <v>0.49249999999999999</v>
      </c>
      <c r="O732">
        <v>3</v>
      </c>
      <c r="P732">
        <v>88</v>
      </c>
      <c r="Q732">
        <v>91</v>
      </c>
    </row>
    <row r="733" spans="1:17" x14ac:dyDescent="0.3">
      <c r="A733">
        <v>732</v>
      </c>
      <c r="B733" s="4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>
        <v>0.24</v>
      </c>
      <c r="L733">
        <v>0.19700000000000001</v>
      </c>
      <c r="M733">
        <v>0.48</v>
      </c>
      <c r="N733">
        <v>0.55220000000000002</v>
      </c>
      <c r="O733">
        <v>4</v>
      </c>
      <c r="P733">
        <v>71</v>
      </c>
      <c r="Q733">
        <v>75</v>
      </c>
    </row>
    <row r="734" spans="1:17" x14ac:dyDescent="0.3">
      <c r="A734">
        <v>733</v>
      </c>
      <c r="B734" s="4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>
        <v>0.22</v>
      </c>
      <c r="L734">
        <v>0.19700000000000001</v>
      </c>
      <c r="M734">
        <v>0.47</v>
      </c>
      <c r="N734">
        <v>0.32840000000000003</v>
      </c>
      <c r="O734">
        <v>1</v>
      </c>
      <c r="P734">
        <v>62</v>
      </c>
      <c r="Q734">
        <v>63</v>
      </c>
    </row>
    <row r="735" spans="1:17" x14ac:dyDescent="0.3">
      <c r="A735">
        <v>734</v>
      </c>
      <c r="B735" s="4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>
        <v>0.22</v>
      </c>
      <c r="L735">
        <v>0.21210000000000001</v>
      </c>
      <c r="M735">
        <v>0.44</v>
      </c>
      <c r="N735">
        <v>0.25369999999999998</v>
      </c>
      <c r="O735">
        <v>5</v>
      </c>
      <c r="P735">
        <v>35</v>
      </c>
      <c r="Q735">
        <v>40</v>
      </c>
    </row>
    <row r="736" spans="1:17" x14ac:dyDescent="0.3">
      <c r="A736">
        <v>735</v>
      </c>
      <c r="B736" s="4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>
        <v>0.2</v>
      </c>
      <c r="L736">
        <v>0.16669999999999999</v>
      </c>
      <c r="M736">
        <v>0.44</v>
      </c>
      <c r="N736">
        <v>0.44779999999999998</v>
      </c>
      <c r="O736">
        <v>3</v>
      </c>
      <c r="P736">
        <v>29</v>
      </c>
      <c r="Q736">
        <v>32</v>
      </c>
    </row>
    <row r="737" spans="1:17" x14ac:dyDescent="0.3">
      <c r="A737">
        <v>736</v>
      </c>
      <c r="B737" s="4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0.2</v>
      </c>
      <c r="L737">
        <v>0.16669999999999999</v>
      </c>
      <c r="M737">
        <v>0.4</v>
      </c>
      <c r="N737">
        <v>0.44779999999999998</v>
      </c>
      <c r="O737">
        <v>1</v>
      </c>
      <c r="P737">
        <v>11</v>
      </c>
      <c r="Q737">
        <v>12</v>
      </c>
    </row>
    <row r="738" spans="1:17" x14ac:dyDescent="0.3">
      <c r="A738">
        <v>737</v>
      </c>
      <c r="B738" s="4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>
        <v>0.2</v>
      </c>
      <c r="L738">
        <v>0.1515</v>
      </c>
      <c r="M738">
        <v>0.44</v>
      </c>
      <c r="N738">
        <v>0.52239999999999998</v>
      </c>
      <c r="O738">
        <v>0</v>
      </c>
      <c r="P738">
        <v>5</v>
      </c>
      <c r="Q738">
        <v>5</v>
      </c>
    </row>
    <row r="739" spans="1:17" x14ac:dyDescent="0.3">
      <c r="A739">
        <v>738</v>
      </c>
      <c r="B739" s="4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>
        <v>0.18</v>
      </c>
      <c r="L739">
        <v>0.16669999999999999</v>
      </c>
      <c r="M739">
        <v>0.43</v>
      </c>
      <c r="N739">
        <v>0.25369999999999998</v>
      </c>
      <c r="O739">
        <v>0</v>
      </c>
      <c r="P739">
        <v>2</v>
      </c>
      <c r="Q739">
        <v>2</v>
      </c>
    </row>
    <row r="740" spans="1:17" x14ac:dyDescent="0.3">
      <c r="A740">
        <v>739</v>
      </c>
      <c r="B740" s="4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>
        <v>0.18</v>
      </c>
      <c r="L740">
        <v>0.16669999999999999</v>
      </c>
      <c r="M740">
        <v>0.43</v>
      </c>
      <c r="N740">
        <v>0.25369999999999998</v>
      </c>
      <c r="O740">
        <v>0</v>
      </c>
      <c r="P740">
        <v>1</v>
      </c>
      <c r="Q740">
        <v>1</v>
      </c>
    </row>
    <row r="741" spans="1:17" x14ac:dyDescent="0.3">
      <c r="A741">
        <v>740</v>
      </c>
      <c r="B741" s="4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>
        <v>0.16</v>
      </c>
      <c r="L741">
        <v>0.13639999999999999</v>
      </c>
      <c r="M741">
        <v>0.5</v>
      </c>
      <c r="N741">
        <v>0.29849999999999999</v>
      </c>
      <c r="O741">
        <v>0</v>
      </c>
      <c r="P741">
        <v>2</v>
      </c>
      <c r="Q741">
        <v>2</v>
      </c>
    </row>
    <row r="742" spans="1:17" x14ac:dyDescent="0.3">
      <c r="A742">
        <v>741</v>
      </c>
      <c r="B742" s="4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>
        <v>0.16</v>
      </c>
      <c r="L742">
        <v>0.13639999999999999</v>
      </c>
      <c r="M742">
        <v>0.43</v>
      </c>
      <c r="N742">
        <v>0.35820000000000002</v>
      </c>
      <c r="O742">
        <v>0</v>
      </c>
      <c r="P742">
        <v>39</v>
      </c>
      <c r="Q742">
        <v>39</v>
      </c>
    </row>
    <row r="743" spans="1:17" x14ac:dyDescent="0.3">
      <c r="A743">
        <v>742</v>
      </c>
      <c r="B743" s="4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>
        <v>0.14000000000000001</v>
      </c>
      <c r="L743">
        <v>0.1212</v>
      </c>
      <c r="M743">
        <v>0.5</v>
      </c>
      <c r="N743">
        <v>0.32840000000000003</v>
      </c>
      <c r="O743">
        <v>1</v>
      </c>
      <c r="P743">
        <v>86</v>
      </c>
      <c r="Q743">
        <v>87</v>
      </c>
    </row>
    <row r="744" spans="1:17" x14ac:dyDescent="0.3">
      <c r="A744">
        <v>743</v>
      </c>
      <c r="B744" s="4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>
        <v>0.14000000000000001</v>
      </c>
      <c r="L744">
        <v>0.1212</v>
      </c>
      <c r="M744">
        <v>0.5</v>
      </c>
      <c r="N744">
        <v>0.35820000000000002</v>
      </c>
      <c r="O744">
        <v>4</v>
      </c>
      <c r="P744">
        <v>184</v>
      </c>
      <c r="Q744">
        <v>188</v>
      </c>
    </row>
    <row r="745" spans="1:17" x14ac:dyDescent="0.3">
      <c r="A745">
        <v>744</v>
      </c>
      <c r="B745" s="4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>
        <v>0.16</v>
      </c>
      <c r="L745">
        <v>0.13639999999999999</v>
      </c>
      <c r="M745">
        <v>0.47</v>
      </c>
      <c r="N745">
        <v>0.29849999999999999</v>
      </c>
      <c r="O745">
        <v>6</v>
      </c>
      <c r="P745">
        <v>127</v>
      </c>
      <c r="Q745">
        <v>133</v>
      </c>
    </row>
    <row r="746" spans="1:17" x14ac:dyDescent="0.3">
      <c r="A746">
        <v>745</v>
      </c>
      <c r="B746" s="4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>
        <v>0.18</v>
      </c>
      <c r="L746">
        <v>0.1515</v>
      </c>
      <c r="M746">
        <v>0.43</v>
      </c>
      <c r="N746">
        <v>0.32840000000000003</v>
      </c>
      <c r="O746">
        <v>2</v>
      </c>
      <c r="P746">
        <v>50</v>
      </c>
      <c r="Q746">
        <v>52</v>
      </c>
    </row>
    <row r="747" spans="1:17" x14ac:dyDescent="0.3">
      <c r="A747">
        <v>746</v>
      </c>
      <c r="B747" s="4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>
        <v>0.18</v>
      </c>
      <c r="L747">
        <v>0.13639999999999999</v>
      </c>
      <c r="M747">
        <v>0.43</v>
      </c>
      <c r="N747">
        <v>0.44779999999999998</v>
      </c>
      <c r="O747">
        <v>9</v>
      </c>
      <c r="P747">
        <v>55</v>
      </c>
      <c r="Q747">
        <v>64</v>
      </c>
    </row>
    <row r="748" spans="1:17" x14ac:dyDescent="0.3">
      <c r="A748">
        <v>747</v>
      </c>
      <c r="B748" s="4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>
        <v>0.2</v>
      </c>
      <c r="L748">
        <v>0.18179999999999999</v>
      </c>
      <c r="M748">
        <v>0.4</v>
      </c>
      <c r="N748">
        <v>0.35820000000000002</v>
      </c>
      <c r="O748">
        <v>2</v>
      </c>
      <c r="P748">
        <v>67</v>
      </c>
      <c r="Q748">
        <v>69</v>
      </c>
    </row>
    <row r="749" spans="1:17" x14ac:dyDescent="0.3">
      <c r="A749">
        <v>748</v>
      </c>
      <c r="B749" s="4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>
        <v>0.2</v>
      </c>
      <c r="L749">
        <v>0.16669999999999999</v>
      </c>
      <c r="M749">
        <v>0.4</v>
      </c>
      <c r="N749">
        <v>0.41789999999999999</v>
      </c>
      <c r="O749">
        <v>4</v>
      </c>
      <c r="P749">
        <v>47</v>
      </c>
      <c r="Q749">
        <v>51</v>
      </c>
    </row>
    <row r="750" spans="1:17" x14ac:dyDescent="0.3">
      <c r="A750">
        <v>749</v>
      </c>
      <c r="B750" s="4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>
        <v>0.22</v>
      </c>
      <c r="L750">
        <v>0.19700000000000001</v>
      </c>
      <c r="M750">
        <v>0.37</v>
      </c>
      <c r="N750">
        <v>0.3881</v>
      </c>
      <c r="O750">
        <v>4</v>
      </c>
      <c r="P750">
        <v>43</v>
      </c>
      <c r="Q750">
        <v>47</v>
      </c>
    </row>
    <row r="751" spans="1:17" x14ac:dyDescent="0.3">
      <c r="A751">
        <v>750</v>
      </c>
      <c r="B751" s="4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>
        <v>0.22</v>
      </c>
      <c r="L751">
        <v>0.19700000000000001</v>
      </c>
      <c r="M751">
        <v>0.37</v>
      </c>
      <c r="N751">
        <v>0.32840000000000003</v>
      </c>
      <c r="O751">
        <v>4</v>
      </c>
      <c r="P751">
        <v>56</v>
      </c>
      <c r="Q751">
        <v>60</v>
      </c>
    </row>
    <row r="752" spans="1:17" x14ac:dyDescent="0.3">
      <c r="A752">
        <v>751</v>
      </c>
      <c r="B752" s="4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>
        <v>0.22</v>
      </c>
      <c r="L752">
        <v>0.21210000000000001</v>
      </c>
      <c r="M752">
        <v>0.37</v>
      </c>
      <c r="N752">
        <v>0.25369999999999998</v>
      </c>
      <c r="O752">
        <v>5</v>
      </c>
      <c r="P752">
        <v>73</v>
      </c>
      <c r="Q752">
        <v>78</v>
      </c>
    </row>
    <row r="753" spans="1:17" x14ac:dyDescent="0.3">
      <c r="A753">
        <v>752</v>
      </c>
      <c r="B753" s="4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>
        <v>0.2</v>
      </c>
      <c r="L753">
        <v>0.19700000000000001</v>
      </c>
      <c r="M753">
        <v>0.4</v>
      </c>
      <c r="N753">
        <v>0.19400000000000001</v>
      </c>
      <c r="O753">
        <v>5</v>
      </c>
      <c r="P753">
        <v>170</v>
      </c>
      <c r="Q753">
        <v>175</v>
      </c>
    </row>
    <row r="754" spans="1:17" x14ac:dyDescent="0.3">
      <c r="A754">
        <v>753</v>
      </c>
      <c r="B754" s="4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>
        <v>0.2</v>
      </c>
      <c r="L754">
        <v>0.21210000000000001</v>
      </c>
      <c r="M754">
        <v>0.4</v>
      </c>
      <c r="N754">
        <v>0.16420000000000001</v>
      </c>
      <c r="O754">
        <v>2</v>
      </c>
      <c r="P754">
        <v>145</v>
      </c>
      <c r="Q754">
        <v>147</v>
      </c>
    </row>
    <row r="755" spans="1:17" x14ac:dyDescent="0.3">
      <c r="A755">
        <v>754</v>
      </c>
      <c r="B755" s="4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>
        <v>0.2</v>
      </c>
      <c r="L755">
        <v>0.2576</v>
      </c>
      <c r="M755">
        <v>0.4</v>
      </c>
      <c r="N755">
        <v>0</v>
      </c>
      <c r="O755">
        <v>4</v>
      </c>
      <c r="P755">
        <v>92</v>
      </c>
      <c r="Q755">
        <v>96</v>
      </c>
    </row>
    <row r="756" spans="1:17" x14ac:dyDescent="0.3">
      <c r="A756">
        <v>755</v>
      </c>
      <c r="B756" s="4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>
        <v>0.2</v>
      </c>
      <c r="L756">
        <v>0.2273</v>
      </c>
      <c r="M756">
        <v>0.47</v>
      </c>
      <c r="N756">
        <v>8.9599999999999999E-2</v>
      </c>
      <c r="O756">
        <v>1</v>
      </c>
      <c r="P756">
        <v>108</v>
      </c>
      <c r="Q756">
        <v>109</v>
      </c>
    </row>
    <row r="757" spans="1:17" x14ac:dyDescent="0.3">
      <c r="A757">
        <v>756</v>
      </c>
      <c r="B757" s="4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>
        <v>0.18</v>
      </c>
      <c r="L757">
        <v>0.21210000000000001</v>
      </c>
      <c r="M757">
        <v>0.55000000000000004</v>
      </c>
      <c r="N757">
        <v>0.1045</v>
      </c>
      <c r="O757">
        <v>1</v>
      </c>
      <c r="P757">
        <v>53</v>
      </c>
      <c r="Q757">
        <v>54</v>
      </c>
    </row>
    <row r="758" spans="1:17" x14ac:dyDescent="0.3">
      <c r="A758">
        <v>757</v>
      </c>
      <c r="B758" s="4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>
        <v>0.18</v>
      </c>
      <c r="L758">
        <v>0.21210000000000001</v>
      </c>
      <c r="M758">
        <v>0.51</v>
      </c>
      <c r="N758">
        <v>8.9599999999999999E-2</v>
      </c>
      <c r="O758">
        <v>2</v>
      </c>
      <c r="P758">
        <v>39</v>
      </c>
      <c r="Q758">
        <v>41</v>
      </c>
    </row>
    <row r="759" spans="1:17" x14ac:dyDescent="0.3">
      <c r="A759">
        <v>758</v>
      </c>
      <c r="B759" s="4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>
        <v>0.2</v>
      </c>
      <c r="L759">
        <v>0.2273</v>
      </c>
      <c r="M759">
        <v>0.47</v>
      </c>
      <c r="N759">
        <v>0.1045</v>
      </c>
      <c r="O759">
        <v>4</v>
      </c>
      <c r="P759">
        <v>34</v>
      </c>
      <c r="Q759">
        <v>38</v>
      </c>
    </row>
    <row r="760" spans="1:17" x14ac:dyDescent="0.3">
      <c r="A760">
        <v>759</v>
      </c>
      <c r="B760" s="4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>
        <v>0.2</v>
      </c>
      <c r="L760">
        <v>0.2576</v>
      </c>
      <c r="M760">
        <v>0.44</v>
      </c>
      <c r="N760">
        <v>0</v>
      </c>
      <c r="O760">
        <v>3</v>
      </c>
      <c r="P760">
        <v>10</v>
      </c>
      <c r="Q760">
        <v>13</v>
      </c>
    </row>
    <row r="761" spans="1:17" x14ac:dyDescent="0.3">
      <c r="A761">
        <v>760</v>
      </c>
      <c r="B761" s="4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>
        <v>0.16</v>
      </c>
      <c r="L761">
        <v>0.2273</v>
      </c>
      <c r="M761">
        <v>0.59</v>
      </c>
      <c r="N761">
        <v>0</v>
      </c>
      <c r="O761">
        <v>0</v>
      </c>
      <c r="P761">
        <v>7</v>
      </c>
      <c r="Q761">
        <v>7</v>
      </c>
    </row>
    <row r="762" spans="1:17" x14ac:dyDescent="0.3">
      <c r="A762">
        <v>761</v>
      </c>
      <c r="B762" s="4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>
        <v>0.14000000000000001</v>
      </c>
      <c r="L762">
        <v>0.16669999999999999</v>
      </c>
      <c r="M762">
        <v>0.63</v>
      </c>
      <c r="N762">
        <v>0.1045</v>
      </c>
      <c r="O762">
        <v>0</v>
      </c>
      <c r="P762">
        <v>1</v>
      </c>
      <c r="Q762">
        <v>1</v>
      </c>
    </row>
    <row r="763" spans="1:17" x14ac:dyDescent="0.3">
      <c r="A763">
        <v>762</v>
      </c>
      <c r="B763" s="4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>
        <v>0.14000000000000001</v>
      </c>
      <c r="L763">
        <v>0.16669999999999999</v>
      </c>
      <c r="M763">
        <v>0.63</v>
      </c>
      <c r="N763">
        <v>0.1045</v>
      </c>
      <c r="O763">
        <v>0</v>
      </c>
      <c r="P763">
        <v>1</v>
      </c>
      <c r="Q763">
        <v>1</v>
      </c>
    </row>
    <row r="764" spans="1:17" x14ac:dyDescent="0.3">
      <c r="A764">
        <v>763</v>
      </c>
      <c r="B764" s="4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>
        <v>0.14000000000000001</v>
      </c>
      <c r="L764">
        <v>0.1515</v>
      </c>
      <c r="M764">
        <v>0.63</v>
      </c>
      <c r="N764">
        <v>0.1343</v>
      </c>
      <c r="O764">
        <v>0</v>
      </c>
      <c r="P764">
        <v>7</v>
      </c>
      <c r="Q764">
        <v>7</v>
      </c>
    </row>
    <row r="765" spans="1:17" x14ac:dyDescent="0.3">
      <c r="A765">
        <v>764</v>
      </c>
      <c r="B765" s="4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>
        <v>0.16</v>
      </c>
      <c r="L765">
        <v>0.2273</v>
      </c>
      <c r="M765">
        <v>0.55000000000000004</v>
      </c>
      <c r="N765">
        <v>0</v>
      </c>
      <c r="O765">
        <v>2</v>
      </c>
      <c r="P765">
        <v>26</v>
      </c>
      <c r="Q765">
        <v>28</v>
      </c>
    </row>
    <row r="766" spans="1:17" x14ac:dyDescent="0.3">
      <c r="A766">
        <v>765</v>
      </c>
      <c r="B766" s="4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>
        <v>0.14000000000000001</v>
      </c>
      <c r="L766">
        <v>0.21210000000000001</v>
      </c>
      <c r="M766">
        <v>0.59</v>
      </c>
      <c r="N766">
        <v>0</v>
      </c>
      <c r="O766">
        <v>0</v>
      </c>
      <c r="P766">
        <v>87</v>
      </c>
      <c r="Q766">
        <v>87</v>
      </c>
    </row>
    <row r="767" spans="1:17" x14ac:dyDescent="0.3">
      <c r="A767">
        <v>766</v>
      </c>
      <c r="B767" s="4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>
        <v>0.14000000000000001</v>
      </c>
      <c r="L767">
        <v>0.1515</v>
      </c>
      <c r="M767">
        <v>0.74</v>
      </c>
      <c r="N767">
        <v>0.1343</v>
      </c>
      <c r="O767">
        <v>3</v>
      </c>
      <c r="P767">
        <v>217</v>
      </c>
      <c r="Q767">
        <v>220</v>
      </c>
    </row>
    <row r="768" spans="1:17" x14ac:dyDescent="0.3">
      <c r="A768">
        <v>767</v>
      </c>
      <c r="B768" s="4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>
        <v>0.16</v>
      </c>
      <c r="L768">
        <v>0.18179999999999999</v>
      </c>
      <c r="M768">
        <v>0.8</v>
      </c>
      <c r="N768">
        <v>0.1343</v>
      </c>
      <c r="O768">
        <v>3</v>
      </c>
      <c r="P768">
        <v>124</v>
      </c>
      <c r="Q768">
        <v>127</v>
      </c>
    </row>
    <row r="769" spans="1:17" x14ac:dyDescent="0.3">
      <c r="A769">
        <v>768</v>
      </c>
      <c r="B769" s="4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>
        <v>0.2</v>
      </c>
      <c r="L769">
        <v>0.21210000000000001</v>
      </c>
      <c r="M769">
        <v>0.51</v>
      </c>
      <c r="N769">
        <v>0.1343</v>
      </c>
      <c r="O769">
        <v>5</v>
      </c>
      <c r="P769">
        <v>46</v>
      </c>
      <c r="Q769">
        <v>51</v>
      </c>
    </row>
    <row r="770" spans="1:17" x14ac:dyDescent="0.3">
      <c r="A770">
        <v>769</v>
      </c>
      <c r="B770" s="4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>
        <v>0.22</v>
      </c>
      <c r="L770">
        <v>0.2273</v>
      </c>
      <c r="M770">
        <v>0.51</v>
      </c>
      <c r="N770">
        <v>0.16420000000000001</v>
      </c>
      <c r="O770">
        <v>3</v>
      </c>
      <c r="P770">
        <v>61</v>
      </c>
      <c r="Q770">
        <v>64</v>
      </c>
    </row>
    <row r="771" spans="1:17" x14ac:dyDescent="0.3">
      <c r="A771">
        <v>770</v>
      </c>
      <c r="B771" s="4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>
        <v>0.24</v>
      </c>
      <c r="L771">
        <v>0.2424</v>
      </c>
      <c r="M771">
        <v>0.48</v>
      </c>
      <c r="N771">
        <v>0.16420000000000001</v>
      </c>
      <c r="O771">
        <v>8</v>
      </c>
      <c r="P771">
        <v>78</v>
      </c>
      <c r="Q771">
        <v>86</v>
      </c>
    </row>
    <row r="772" spans="1:17" x14ac:dyDescent="0.3">
      <c r="A772">
        <v>771</v>
      </c>
      <c r="B772" s="4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>
        <v>0.26</v>
      </c>
      <c r="L772">
        <v>0.2576</v>
      </c>
      <c r="M772">
        <v>0.5</v>
      </c>
      <c r="N772">
        <v>0.22389999999999999</v>
      </c>
      <c r="O772">
        <v>9</v>
      </c>
      <c r="P772">
        <v>73</v>
      </c>
      <c r="Q772">
        <v>82</v>
      </c>
    </row>
    <row r="773" spans="1:17" x14ac:dyDescent="0.3">
      <c r="A773">
        <v>772</v>
      </c>
      <c r="B773" s="4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>
        <v>0.28000000000000003</v>
      </c>
      <c r="L773">
        <v>0.2727</v>
      </c>
      <c r="M773">
        <v>0.45</v>
      </c>
      <c r="N773">
        <v>0.16420000000000001</v>
      </c>
      <c r="O773">
        <v>15</v>
      </c>
      <c r="P773">
        <v>76</v>
      </c>
      <c r="Q773">
        <v>91</v>
      </c>
    </row>
    <row r="774" spans="1:17" x14ac:dyDescent="0.3">
      <c r="A774">
        <v>773</v>
      </c>
      <c r="B774" s="4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>
        <v>0.28000000000000003</v>
      </c>
      <c r="L774">
        <v>0.2727</v>
      </c>
      <c r="M774">
        <v>0.48</v>
      </c>
      <c r="N774">
        <v>0.25369999999999998</v>
      </c>
      <c r="O774">
        <v>9</v>
      </c>
      <c r="P774">
        <v>81</v>
      </c>
      <c r="Q774">
        <v>90</v>
      </c>
    </row>
    <row r="775" spans="1:17" x14ac:dyDescent="0.3">
      <c r="A775">
        <v>774</v>
      </c>
      <c r="B775" s="4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>
        <v>0.3</v>
      </c>
      <c r="L775">
        <v>0.28789999999999999</v>
      </c>
      <c r="M775">
        <v>0.42</v>
      </c>
      <c r="N775">
        <v>0.22389999999999999</v>
      </c>
      <c r="O775">
        <v>8</v>
      </c>
      <c r="P775">
        <v>91</v>
      </c>
      <c r="Q775">
        <v>99</v>
      </c>
    </row>
    <row r="776" spans="1:17" x14ac:dyDescent="0.3">
      <c r="A776">
        <v>775</v>
      </c>
      <c r="B776" s="4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>
        <v>0.26</v>
      </c>
      <c r="L776">
        <v>0.2727</v>
      </c>
      <c r="M776">
        <v>0.56000000000000005</v>
      </c>
      <c r="N776">
        <v>0.1343</v>
      </c>
      <c r="O776">
        <v>10</v>
      </c>
      <c r="P776">
        <v>195</v>
      </c>
      <c r="Q776">
        <v>205</v>
      </c>
    </row>
    <row r="777" spans="1:17" x14ac:dyDescent="0.3">
      <c r="A777">
        <v>776</v>
      </c>
      <c r="B777" s="4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>
        <v>0.24</v>
      </c>
      <c r="L777">
        <v>0.2576</v>
      </c>
      <c r="M777">
        <v>0.6</v>
      </c>
      <c r="N777">
        <v>0.1045</v>
      </c>
      <c r="O777">
        <v>3</v>
      </c>
      <c r="P777">
        <v>152</v>
      </c>
      <c r="Q777">
        <v>155</v>
      </c>
    </row>
    <row r="778" spans="1:17" x14ac:dyDescent="0.3">
      <c r="A778">
        <v>777</v>
      </c>
      <c r="B778" s="4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>
        <v>0.24</v>
      </c>
      <c r="L778">
        <v>0.2424</v>
      </c>
      <c r="M778">
        <v>0.65</v>
      </c>
      <c r="N778">
        <v>0.1343</v>
      </c>
      <c r="O778">
        <v>1</v>
      </c>
      <c r="P778">
        <v>102</v>
      </c>
      <c r="Q778">
        <v>103</v>
      </c>
    </row>
    <row r="779" spans="1:17" x14ac:dyDescent="0.3">
      <c r="A779">
        <v>778</v>
      </c>
      <c r="B779" s="4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>
        <v>0.24</v>
      </c>
      <c r="L779">
        <v>0.2424</v>
      </c>
      <c r="M779">
        <v>0.65</v>
      </c>
      <c r="N779">
        <v>0.16420000000000001</v>
      </c>
      <c r="O779">
        <v>2</v>
      </c>
      <c r="P779">
        <v>69</v>
      </c>
      <c r="Q779">
        <v>71</v>
      </c>
    </row>
    <row r="780" spans="1:17" x14ac:dyDescent="0.3">
      <c r="A780">
        <v>779</v>
      </c>
      <c r="B780" s="4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>
        <v>0.24</v>
      </c>
      <c r="L780">
        <v>0.2424</v>
      </c>
      <c r="M780">
        <v>0.7</v>
      </c>
      <c r="N780">
        <v>0.16420000000000001</v>
      </c>
      <c r="O780">
        <v>2</v>
      </c>
      <c r="P780">
        <v>41</v>
      </c>
      <c r="Q780">
        <v>43</v>
      </c>
    </row>
    <row r="781" spans="1:17" x14ac:dyDescent="0.3">
      <c r="A781">
        <v>780</v>
      </c>
      <c r="B781" s="4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>
        <v>0.24</v>
      </c>
      <c r="L781">
        <v>0.2424</v>
      </c>
      <c r="M781">
        <v>0.65</v>
      </c>
      <c r="N781">
        <v>0.16420000000000001</v>
      </c>
      <c r="O781">
        <v>1</v>
      </c>
      <c r="P781">
        <v>45</v>
      </c>
      <c r="Q781">
        <v>46</v>
      </c>
    </row>
    <row r="782" spans="1:17" x14ac:dyDescent="0.3">
      <c r="A782">
        <v>781</v>
      </c>
      <c r="B782" s="4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>
        <v>0.24</v>
      </c>
      <c r="L782">
        <v>0.2424</v>
      </c>
      <c r="M782">
        <v>0.7</v>
      </c>
      <c r="N782">
        <v>0.1343</v>
      </c>
      <c r="O782">
        <v>1</v>
      </c>
      <c r="P782">
        <v>30</v>
      </c>
      <c r="Q782">
        <v>31</v>
      </c>
    </row>
    <row r="783" spans="1:17" x14ac:dyDescent="0.3">
      <c r="A783">
        <v>782</v>
      </c>
      <c r="B783" s="4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>
        <v>0.24</v>
      </c>
      <c r="L783">
        <v>0.2424</v>
      </c>
      <c r="M783">
        <v>0.7</v>
      </c>
      <c r="N783">
        <v>0.16420000000000001</v>
      </c>
      <c r="O783">
        <v>3</v>
      </c>
      <c r="P783">
        <v>36</v>
      </c>
      <c r="Q783">
        <v>39</v>
      </c>
    </row>
    <row r="784" spans="1:17" x14ac:dyDescent="0.3">
      <c r="A784">
        <v>783</v>
      </c>
      <c r="B784" s="4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>
        <v>0.24</v>
      </c>
      <c r="L784">
        <v>0.2424</v>
      </c>
      <c r="M784">
        <v>0.65</v>
      </c>
      <c r="N784">
        <v>0.16420000000000001</v>
      </c>
      <c r="O784">
        <v>1</v>
      </c>
      <c r="P784">
        <v>17</v>
      </c>
      <c r="Q784">
        <v>18</v>
      </c>
    </row>
    <row r="785" spans="1:17" x14ac:dyDescent="0.3">
      <c r="A785">
        <v>784</v>
      </c>
      <c r="B785" s="4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>
        <v>0.24</v>
      </c>
      <c r="L785">
        <v>0.2424</v>
      </c>
      <c r="M785">
        <v>0.75</v>
      </c>
      <c r="N785">
        <v>0.16420000000000001</v>
      </c>
      <c r="O785">
        <v>5</v>
      </c>
      <c r="P785">
        <v>12</v>
      </c>
      <c r="Q785">
        <v>17</v>
      </c>
    </row>
    <row r="786" spans="1:17" x14ac:dyDescent="0.3">
      <c r="A786">
        <v>785</v>
      </c>
      <c r="B786" s="4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>
        <v>0.24</v>
      </c>
      <c r="L786">
        <v>0.2424</v>
      </c>
      <c r="M786">
        <v>0.75</v>
      </c>
      <c r="N786">
        <v>0.16420000000000001</v>
      </c>
      <c r="O786">
        <v>1</v>
      </c>
      <c r="P786">
        <v>10</v>
      </c>
      <c r="Q786">
        <v>11</v>
      </c>
    </row>
    <row r="787" spans="1:17" x14ac:dyDescent="0.3">
      <c r="A787">
        <v>786</v>
      </c>
      <c r="B787" s="4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>
        <v>0.22</v>
      </c>
      <c r="L787">
        <v>0.2273</v>
      </c>
      <c r="M787">
        <v>0.93</v>
      </c>
      <c r="N787">
        <v>0.1343</v>
      </c>
      <c r="O787">
        <v>0</v>
      </c>
      <c r="P787">
        <v>8</v>
      </c>
      <c r="Q787">
        <v>8</v>
      </c>
    </row>
    <row r="788" spans="1:17" x14ac:dyDescent="0.3">
      <c r="A788">
        <v>787</v>
      </c>
      <c r="B788" s="4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>
        <v>0.2</v>
      </c>
      <c r="L788">
        <v>0.2273</v>
      </c>
      <c r="M788">
        <v>1</v>
      </c>
      <c r="N788">
        <v>8.9599999999999999E-2</v>
      </c>
      <c r="O788">
        <v>0</v>
      </c>
      <c r="P788">
        <v>9</v>
      </c>
      <c r="Q788">
        <v>9</v>
      </c>
    </row>
    <row r="789" spans="1:17" x14ac:dyDescent="0.3">
      <c r="A789">
        <v>788</v>
      </c>
      <c r="B789" s="4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>
        <v>0.2</v>
      </c>
      <c r="L789">
        <v>0.2576</v>
      </c>
      <c r="M789">
        <v>1</v>
      </c>
      <c r="N789">
        <v>0</v>
      </c>
      <c r="O789">
        <v>0</v>
      </c>
      <c r="P789">
        <v>4</v>
      </c>
      <c r="Q789">
        <v>4</v>
      </c>
    </row>
    <row r="790" spans="1:17" x14ac:dyDescent="0.3">
      <c r="A790">
        <v>789</v>
      </c>
      <c r="B790" s="4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>
        <v>0.22</v>
      </c>
      <c r="L790">
        <v>0.2576</v>
      </c>
      <c r="M790">
        <v>0.93</v>
      </c>
      <c r="N790">
        <v>8.9599999999999999E-2</v>
      </c>
      <c r="O790">
        <v>0</v>
      </c>
      <c r="P790">
        <v>4</v>
      </c>
      <c r="Q790">
        <v>4</v>
      </c>
    </row>
    <row r="791" spans="1:17" x14ac:dyDescent="0.3">
      <c r="A791">
        <v>790</v>
      </c>
      <c r="B791" s="4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>
        <v>0.2</v>
      </c>
      <c r="L791">
        <v>0.2273</v>
      </c>
      <c r="M791">
        <v>1</v>
      </c>
      <c r="N791">
        <v>8.9599999999999999E-2</v>
      </c>
      <c r="O791">
        <v>0</v>
      </c>
      <c r="P791">
        <v>10</v>
      </c>
      <c r="Q791">
        <v>10</v>
      </c>
    </row>
    <row r="792" spans="1:17" x14ac:dyDescent="0.3">
      <c r="A792">
        <v>791</v>
      </c>
      <c r="B792" s="4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>
        <v>0.2</v>
      </c>
      <c r="L792">
        <v>0.2273</v>
      </c>
      <c r="M792">
        <v>1</v>
      </c>
      <c r="N792">
        <v>8.9599999999999999E-2</v>
      </c>
      <c r="O792">
        <v>3</v>
      </c>
      <c r="P792">
        <v>17</v>
      </c>
      <c r="Q792">
        <v>20</v>
      </c>
    </row>
    <row r="793" spans="1:17" x14ac:dyDescent="0.3">
      <c r="A793">
        <v>792</v>
      </c>
      <c r="B793" s="4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>
        <v>0.2</v>
      </c>
      <c r="L793">
        <v>0.21210000000000001</v>
      </c>
      <c r="M793">
        <v>1</v>
      </c>
      <c r="N793">
        <v>0.1343</v>
      </c>
      <c r="O793">
        <v>3</v>
      </c>
      <c r="P793">
        <v>31</v>
      </c>
      <c r="Q793">
        <v>34</v>
      </c>
    </row>
    <row r="794" spans="1:17" x14ac:dyDescent="0.3">
      <c r="A794">
        <v>793</v>
      </c>
      <c r="B794" s="4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>
        <v>0.22</v>
      </c>
      <c r="L794">
        <v>0.2273</v>
      </c>
      <c r="M794">
        <v>1</v>
      </c>
      <c r="N794">
        <v>0.1343</v>
      </c>
      <c r="O794">
        <v>1</v>
      </c>
      <c r="P794">
        <v>46</v>
      </c>
      <c r="Q794">
        <v>47</v>
      </c>
    </row>
    <row r="795" spans="1:17" x14ac:dyDescent="0.3">
      <c r="A795">
        <v>794</v>
      </c>
      <c r="B795" s="4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>
        <v>0.22</v>
      </c>
      <c r="L795">
        <v>0.2273</v>
      </c>
      <c r="M795">
        <v>1</v>
      </c>
      <c r="N795">
        <v>0.16420000000000001</v>
      </c>
      <c r="O795">
        <v>10</v>
      </c>
      <c r="P795">
        <v>42</v>
      </c>
      <c r="Q795">
        <v>52</v>
      </c>
    </row>
    <row r="796" spans="1:17" x14ac:dyDescent="0.3">
      <c r="A796">
        <v>795</v>
      </c>
      <c r="B796" s="4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>
        <v>0.22</v>
      </c>
      <c r="L796">
        <v>0.2273</v>
      </c>
      <c r="M796">
        <v>1</v>
      </c>
      <c r="N796">
        <v>0.16420000000000001</v>
      </c>
      <c r="O796">
        <v>10</v>
      </c>
      <c r="P796">
        <v>62</v>
      </c>
      <c r="Q796">
        <v>72</v>
      </c>
    </row>
    <row r="797" spans="1:17" x14ac:dyDescent="0.3">
      <c r="A797">
        <v>796</v>
      </c>
      <c r="B797" s="4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>
        <v>0.22</v>
      </c>
      <c r="L797">
        <v>0.2727</v>
      </c>
      <c r="M797">
        <v>1</v>
      </c>
      <c r="N797">
        <v>0</v>
      </c>
      <c r="O797">
        <v>5</v>
      </c>
      <c r="P797">
        <v>50</v>
      </c>
      <c r="Q797">
        <v>55</v>
      </c>
    </row>
    <row r="798" spans="1:17" x14ac:dyDescent="0.3">
      <c r="A798">
        <v>797</v>
      </c>
      <c r="B798" s="4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>
        <v>0.22</v>
      </c>
      <c r="L798">
        <v>0.2727</v>
      </c>
      <c r="M798">
        <v>1</v>
      </c>
      <c r="N798">
        <v>0</v>
      </c>
      <c r="O798">
        <v>11</v>
      </c>
      <c r="P798">
        <v>49</v>
      </c>
      <c r="Q798">
        <v>60</v>
      </c>
    </row>
    <row r="799" spans="1:17" x14ac:dyDescent="0.3">
      <c r="A799">
        <v>798</v>
      </c>
      <c r="B799" s="4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>
        <v>0.22</v>
      </c>
      <c r="L799">
        <v>0.2273</v>
      </c>
      <c r="M799">
        <v>1</v>
      </c>
      <c r="N799">
        <v>0.1343</v>
      </c>
      <c r="O799">
        <v>8</v>
      </c>
      <c r="P799">
        <v>63</v>
      </c>
      <c r="Q799">
        <v>71</v>
      </c>
    </row>
    <row r="800" spans="1:17" x14ac:dyDescent="0.3">
      <c r="A800">
        <v>799</v>
      </c>
      <c r="B800" s="4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>
        <v>0.24</v>
      </c>
      <c r="L800">
        <v>0.21210000000000001</v>
      </c>
      <c r="M800">
        <v>1</v>
      </c>
      <c r="N800">
        <v>0.28360000000000002</v>
      </c>
      <c r="O800">
        <v>14</v>
      </c>
      <c r="P800">
        <v>64</v>
      </c>
      <c r="Q800">
        <v>78</v>
      </c>
    </row>
    <row r="801" spans="1:17" x14ac:dyDescent="0.3">
      <c r="A801">
        <v>800</v>
      </c>
      <c r="B801" s="4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>
        <v>0.28000000000000003</v>
      </c>
      <c r="L801">
        <v>0.2424</v>
      </c>
      <c r="M801">
        <v>0.93</v>
      </c>
      <c r="N801">
        <v>0.44779999999999998</v>
      </c>
      <c r="O801">
        <v>2</v>
      </c>
      <c r="P801">
        <v>81</v>
      </c>
      <c r="Q801">
        <v>83</v>
      </c>
    </row>
    <row r="802" spans="1:17" x14ac:dyDescent="0.3">
      <c r="A802">
        <v>801</v>
      </c>
      <c r="B802" s="4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>
        <v>0.28000000000000003</v>
      </c>
      <c r="L802">
        <v>0.2424</v>
      </c>
      <c r="M802">
        <v>0.93</v>
      </c>
      <c r="N802">
        <v>0.44779999999999998</v>
      </c>
      <c r="O802">
        <v>6</v>
      </c>
      <c r="P802">
        <v>78</v>
      </c>
      <c r="Q802">
        <v>84</v>
      </c>
    </row>
    <row r="803" spans="1:17" x14ac:dyDescent="0.3">
      <c r="A803">
        <v>802</v>
      </c>
      <c r="B803" s="4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>
        <v>0.3</v>
      </c>
      <c r="L803">
        <v>0.28789999999999999</v>
      </c>
      <c r="M803">
        <v>0.87</v>
      </c>
      <c r="N803">
        <v>0.25369999999999998</v>
      </c>
      <c r="O803">
        <v>5</v>
      </c>
      <c r="P803">
        <v>64</v>
      </c>
      <c r="Q803">
        <v>69</v>
      </c>
    </row>
    <row r="804" spans="1:17" x14ac:dyDescent="0.3">
      <c r="A804">
        <v>803</v>
      </c>
      <c r="B804" s="4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>
        <v>0.26</v>
      </c>
      <c r="L804">
        <v>0.2576</v>
      </c>
      <c r="M804">
        <v>1</v>
      </c>
      <c r="N804">
        <v>0.19400000000000001</v>
      </c>
      <c r="O804">
        <v>3</v>
      </c>
      <c r="P804">
        <v>53</v>
      </c>
      <c r="Q804">
        <v>56</v>
      </c>
    </row>
    <row r="805" spans="1:17" x14ac:dyDescent="0.3">
      <c r="A805">
        <v>804</v>
      </c>
      <c r="B805" s="4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>
        <v>0.26</v>
      </c>
      <c r="L805">
        <v>0.2727</v>
      </c>
      <c r="M805">
        <v>0.93</v>
      </c>
      <c r="N805">
        <v>0.1343</v>
      </c>
      <c r="O805">
        <v>2</v>
      </c>
      <c r="P805">
        <v>43</v>
      </c>
      <c r="Q805">
        <v>45</v>
      </c>
    </row>
    <row r="806" spans="1:17" x14ac:dyDescent="0.3">
      <c r="A806">
        <v>805</v>
      </c>
      <c r="B806" s="4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>
        <v>0.26</v>
      </c>
      <c r="L806">
        <v>0.2576</v>
      </c>
      <c r="M806">
        <v>0.93</v>
      </c>
      <c r="N806">
        <v>0.22389999999999999</v>
      </c>
      <c r="O806">
        <v>7</v>
      </c>
      <c r="P806">
        <v>52</v>
      </c>
      <c r="Q806">
        <v>59</v>
      </c>
    </row>
    <row r="807" spans="1:17" x14ac:dyDescent="0.3">
      <c r="A807">
        <v>806</v>
      </c>
      <c r="B807" s="4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0.26</v>
      </c>
      <c r="L807">
        <v>0.2576</v>
      </c>
      <c r="M807">
        <v>0.7</v>
      </c>
      <c r="N807">
        <v>0.19400000000000001</v>
      </c>
      <c r="O807">
        <v>2</v>
      </c>
      <c r="P807">
        <v>37</v>
      </c>
      <c r="Q807">
        <v>39</v>
      </c>
    </row>
    <row r="808" spans="1:17" x14ac:dyDescent="0.3">
      <c r="A808">
        <v>807</v>
      </c>
      <c r="B808" s="4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0.26</v>
      </c>
      <c r="L808">
        <v>0.2273</v>
      </c>
      <c r="M808">
        <v>0.65</v>
      </c>
      <c r="N808">
        <v>0.41789999999999999</v>
      </c>
      <c r="O808">
        <v>4</v>
      </c>
      <c r="P808">
        <v>40</v>
      </c>
      <c r="Q808">
        <v>44</v>
      </c>
    </row>
    <row r="809" spans="1:17" x14ac:dyDescent="0.3">
      <c r="A809">
        <v>808</v>
      </c>
      <c r="B809" s="4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0.26</v>
      </c>
      <c r="L809">
        <v>0.2273</v>
      </c>
      <c r="M809">
        <v>0.6</v>
      </c>
      <c r="N809">
        <v>0.32840000000000003</v>
      </c>
      <c r="O809">
        <v>0</v>
      </c>
      <c r="P809">
        <v>20</v>
      </c>
      <c r="Q809">
        <v>20</v>
      </c>
    </row>
    <row r="810" spans="1:17" x14ac:dyDescent="0.3">
      <c r="A810">
        <v>809</v>
      </c>
      <c r="B810" s="4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0.26</v>
      </c>
      <c r="L810">
        <v>0.28789999999999999</v>
      </c>
      <c r="M810">
        <v>0.6</v>
      </c>
      <c r="N810">
        <v>8.9599999999999999E-2</v>
      </c>
      <c r="O810">
        <v>3</v>
      </c>
      <c r="P810">
        <v>10</v>
      </c>
      <c r="Q810">
        <v>13</v>
      </c>
    </row>
    <row r="811" spans="1:17" x14ac:dyDescent="0.3">
      <c r="A811">
        <v>810</v>
      </c>
      <c r="B811" s="4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>
        <v>0.26</v>
      </c>
      <c r="L811">
        <v>0.2273</v>
      </c>
      <c r="M811">
        <v>0.6</v>
      </c>
      <c r="N811">
        <v>0.35820000000000002</v>
      </c>
      <c r="O811">
        <v>0</v>
      </c>
      <c r="P811">
        <v>2</v>
      </c>
      <c r="Q811">
        <v>2</v>
      </c>
    </row>
    <row r="812" spans="1:17" x14ac:dyDescent="0.3">
      <c r="A812">
        <v>811</v>
      </c>
      <c r="B812" s="4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>
        <v>0.26</v>
      </c>
      <c r="L812">
        <v>0.2576</v>
      </c>
      <c r="M812">
        <v>0.6</v>
      </c>
      <c r="N812">
        <v>0.22389999999999999</v>
      </c>
      <c r="O812">
        <v>0</v>
      </c>
      <c r="P812">
        <v>1</v>
      </c>
      <c r="Q812">
        <v>1</v>
      </c>
    </row>
    <row r="813" spans="1:17" x14ac:dyDescent="0.3">
      <c r="A813">
        <v>812</v>
      </c>
      <c r="B813" s="4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0.26</v>
      </c>
      <c r="L813">
        <v>0.2576</v>
      </c>
      <c r="M813">
        <v>0.6</v>
      </c>
      <c r="N813">
        <v>0.22389999999999999</v>
      </c>
      <c r="O813">
        <v>0</v>
      </c>
      <c r="P813">
        <v>1</v>
      </c>
      <c r="Q813">
        <v>1</v>
      </c>
    </row>
    <row r="814" spans="1:17" x14ac:dyDescent="0.3">
      <c r="A814">
        <v>813</v>
      </c>
      <c r="B814" s="4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>
        <v>0.24</v>
      </c>
      <c r="L814">
        <v>0.2424</v>
      </c>
      <c r="M814">
        <v>0.65</v>
      </c>
      <c r="N814">
        <v>0.16420000000000001</v>
      </c>
      <c r="O814">
        <v>0</v>
      </c>
      <c r="P814">
        <v>8</v>
      </c>
      <c r="Q814">
        <v>8</v>
      </c>
    </row>
    <row r="815" spans="1:17" x14ac:dyDescent="0.3">
      <c r="A815">
        <v>814</v>
      </c>
      <c r="B815" s="4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0.24</v>
      </c>
      <c r="L815">
        <v>0.2576</v>
      </c>
      <c r="M815">
        <v>0.65</v>
      </c>
      <c r="N815">
        <v>0.1045</v>
      </c>
      <c r="O815">
        <v>2</v>
      </c>
      <c r="P815">
        <v>21</v>
      </c>
      <c r="Q815">
        <v>23</v>
      </c>
    </row>
    <row r="816" spans="1:17" x14ac:dyDescent="0.3">
      <c r="A816">
        <v>815</v>
      </c>
      <c r="B816" s="4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>
        <v>0.28000000000000003</v>
      </c>
      <c r="L816">
        <v>0.28789999999999999</v>
      </c>
      <c r="M816">
        <v>0.56000000000000005</v>
      </c>
      <c r="N816">
        <v>0.1045</v>
      </c>
      <c r="O816">
        <v>7</v>
      </c>
      <c r="P816">
        <v>38</v>
      </c>
      <c r="Q816">
        <v>45</v>
      </c>
    </row>
    <row r="817" spans="1:17" x14ac:dyDescent="0.3">
      <c r="A817">
        <v>816</v>
      </c>
      <c r="B817" s="4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>
        <v>0.3</v>
      </c>
      <c r="L817">
        <v>0.28789999999999999</v>
      </c>
      <c r="M817">
        <v>0.52</v>
      </c>
      <c r="N817">
        <v>0.25369999999999998</v>
      </c>
      <c r="O817">
        <v>15</v>
      </c>
      <c r="P817">
        <v>74</v>
      </c>
      <c r="Q817">
        <v>89</v>
      </c>
    </row>
    <row r="818" spans="1:17" x14ac:dyDescent="0.3">
      <c r="A818">
        <v>817</v>
      </c>
      <c r="B818" s="4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>
        <v>0.32</v>
      </c>
      <c r="L818">
        <v>0.30299999999999999</v>
      </c>
      <c r="M818">
        <v>0.49</v>
      </c>
      <c r="N818">
        <v>0.25369999999999998</v>
      </c>
      <c r="O818">
        <v>28</v>
      </c>
      <c r="P818">
        <v>89</v>
      </c>
      <c r="Q818">
        <v>117</v>
      </c>
    </row>
    <row r="819" spans="1:17" x14ac:dyDescent="0.3">
      <c r="A819">
        <v>818</v>
      </c>
      <c r="B819" s="4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>
        <v>0.34</v>
      </c>
      <c r="L819">
        <v>0.33329999999999999</v>
      </c>
      <c r="M819">
        <v>0.46</v>
      </c>
      <c r="N819">
        <v>0</v>
      </c>
      <c r="O819">
        <v>48</v>
      </c>
      <c r="P819">
        <v>126</v>
      </c>
      <c r="Q819">
        <v>174</v>
      </c>
    </row>
    <row r="820" spans="1:17" x14ac:dyDescent="0.3">
      <c r="A820">
        <v>819</v>
      </c>
      <c r="B820" s="4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>
        <v>0.34</v>
      </c>
      <c r="L820">
        <v>0.36359999999999998</v>
      </c>
      <c r="M820">
        <v>0.46</v>
      </c>
      <c r="N820">
        <v>0</v>
      </c>
      <c r="O820">
        <v>47</v>
      </c>
      <c r="P820">
        <v>135</v>
      </c>
      <c r="Q820">
        <v>182</v>
      </c>
    </row>
    <row r="821" spans="1:17" x14ac:dyDescent="0.3">
      <c r="A821">
        <v>820</v>
      </c>
      <c r="B821" s="4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>
        <v>0.34</v>
      </c>
      <c r="L821">
        <v>0.34849999999999998</v>
      </c>
      <c r="M821">
        <v>0.46</v>
      </c>
      <c r="N821">
        <v>8.9599999999999999E-2</v>
      </c>
      <c r="O821">
        <v>47</v>
      </c>
      <c r="P821">
        <v>114</v>
      </c>
      <c r="Q821">
        <v>161</v>
      </c>
    </row>
    <row r="822" spans="1:17" x14ac:dyDescent="0.3">
      <c r="A822">
        <v>821</v>
      </c>
      <c r="B822" s="4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>
        <v>0.34</v>
      </c>
      <c r="L822">
        <v>0.34849999999999998</v>
      </c>
      <c r="M822">
        <v>0.46</v>
      </c>
      <c r="N822">
        <v>8.9599999999999999E-2</v>
      </c>
      <c r="O822">
        <v>52</v>
      </c>
      <c r="P822">
        <v>130</v>
      </c>
      <c r="Q822">
        <v>182</v>
      </c>
    </row>
    <row r="823" spans="1:17" x14ac:dyDescent="0.3">
      <c r="A823">
        <v>822</v>
      </c>
      <c r="B823" s="4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>
        <v>0.34</v>
      </c>
      <c r="L823">
        <v>0.34849999999999998</v>
      </c>
      <c r="M823">
        <v>0.49</v>
      </c>
      <c r="N823">
        <v>0.1045</v>
      </c>
      <c r="O823">
        <v>42</v>
      </c>
      <c r="P823">
        <v>115</v>
      </c>
      <c r="Q823">
        <v>157</v>
      </c>
    </row>
    <row r="824" spans="1:17" x14ac:dyDescent="0.3">
      <c r="A824">
        <v>823</v>
      </c>
      <c r="B824" s="4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>
        <v>0.34</v>
      </c>
      <c r="L824">
        <v>0.36359999999999998</v>
      </c>
      <c r="M824">
        <v>0.46</v>
      </c>
      <c r="N824">
        <v>0</v>
      </c>
      <c r="O824">
        <v>24</v>
      </c>
      <c r="P824">
        <v>97</v>
      </c>
      <c r="Q824">
        <v>121</v>
      </c>
    </row>
    <row r="825" spans="1:17" x14ac:dyDescent="0.3">
      <c r="A825">
        <v>824</v>
      </c>
      <c r="B825" s="4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>
        <v>0.3</v>
      </c>
      <c r="L825">
        <v>0.30299999999999999</v>
      </c>
      <c r="M825">
        <v>0.56000000000000005</v>
      </c>
      <c r="N825">
        <v>0.16420000000000001</v>
      </c>
      <c r="O825">
        <v>13</v>
      </c>
      <c r="P825">
        <v>65</v>
      </c>
      <c r="Q825">
        <v>78</v>
      </c>
    </row>
    <row r="826" spans="1:17" x14ac:dyDescent="0.3">
      <c r="A826">
        <v>825</v>
      </c>
      <c r="B826" s="4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>
        <v>0.28000000000000003</v>
      </c>
      <c r="L826">
        <v>0.28789999999999999</v>
      </c>
      <c r="M826">
        <v>0.61</v>
      </c>
      <c r="N826">
        <v>0.1343</v>
      </c>
      <c r="O826">
        <v>1</v>
      </c>
      <c r="P826">
        <v>20</v>
      </c>
      <c r="Q826">
        <v>21</v>
      </c>
    </row>
    <row r="827" spans="1:17" x14ac:dyDescent="0.3">
      <c r="A827">
        <v>826</v>
      </c>
      <c r="B827" s="4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>
        <v>0.28000000000000003</v>
      </c>
      <c r="L827">
        <v>0.28789999999999999</v>
      </c>
      <c r="M827">
        <v>0.61</v>
      </c>
      <c r="N827">
        <v>0.1045</v>
      </c>
      <c r="O827">
        <v>5</v>
      </c>
      <c r="P827">
        <v>21</v>
      </c>
      <c r="Q827">
        <v>26</v>
      </c>
    </row>
    <row r="828" spans="1:17" x14ac:dyDescent="0.3">
      <c r="A828">
        <v>827</v>
      </c>
      <c r="B828" s="4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>
        <v>0.26</v>
      </c>
      <c r="L828">
        <v>0.30299999999999999</v>
      </c>
      <c r="M828">
        <v>0.6</v>
      </c>
      <c r="N828">
        <v>0</v>
      </c>
      <c r="O828">
        <v>5</v>
      </c>
      <c r="P828">
        <v>22</v>
      </c>
      <c r="Q828">
        <v>27</v>
      </c>
    </row>
    <row r="829" spans="1:17" x14ac:dyDescent="0.3">
      <c r="A829">
        <v>828</v>
      </c>
      <c r="B829" s="4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>
        <v>0.26</v>
      </c>
      <c r="L829">
        <v>0.30299999999999999</v>
      </c>
      <c r="M829">
        <v>0.6</v>
      </c>
      <c r="N829">
        <v>0</v>
      </c>
      <c r="O829">
        <v>5</v>
      </c>
      <c r="P829">
        <v>57</v>
      </c>
      <c r="Q829">
        <v>62</v>
      </c>
    </row>
    <row r="830" spans="1:17" x14ac:dyDescent="0.3">
      <c r="A830">
        <v>829</v>
      </c>
      <c r="B830" s="4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>
        <v>0.24</v>
      </c>
      <c r="L830">
        <v>0.28789999999999999</v>
      </c>
      <c r="M830">
        <v>0.65</v>
      </c>
      <c r="N830">
        <v>0</v>
      </c>
      <c r="O830">
        <v>4</v>
      </c>
      <c r="P830">
        <v>26</v>
      </c>
      <c r="Q830">
        <v>30</v>
      </c>
    </row>
    <row r="831" spans="1:17" x14ac:dyDescent="0.3">
      <c r="A831">
        <v>830</v>
      </c>
      <c r="B831" s="4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0.24</v>
      </c>
      <c r="L831">
        <v>0.28789999999999999</v>
      </c>
      <c r="M831">
        <v>0.65</v>
      </c>
      <c r="N831">
        <v>0</v>
      </c>
      <c r="O831">
        <v>1</v>
      </c>
      <c r="P831">
        <v>14</v>
      </c>
      <c r="Q831">
        <v>15</v>
      </c>
    </row>
    <row r="832" spans="1:17" x14ac:dyDescent="0.3">
      <c r="A832">
        <v>831</v>
      </c>
      <c r="B832" s="4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0.22</v>
      </c>
      <c r="L832">
        <v>0.2727</v>
      </c>
      <c r="M832">
        <v>0.75</v>
      </c>
      <c r="N832">
        <v>0</v>
      </c>
      <c r="O832">
        <v>1</v>
      </c>
      <c r="P832">
        <v>4</v>
      </c>
      <c r="Q832">
        <v>5</v>
      </c>
    </row>
    <row r="833" spans="1:17" x14ac:dyDescent="0.3">
      <c r="A833">
        <v>832</v>
      </c>
      <c r="B833" s="4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0.2</v>
      </c>
      <c r="L833">
        <v>0.2576</v>
      </c>
      <c r="M833">
        <v>0.8</v>
      </c>
      <c r="N833">
        <v>0</v>
      </c>
      <c r="O833">
        <v>0</v>
      </c>
      <c r="P833">
        <v>3</v>
      </c>
      <c r="Q833">
        <v>3</v>
      </c>
    </row>
    <row r="834" spans="1:17" x14ac:dyDescent="0.3">
      <c r="A834">
        <v>833</v>
      </c>
      <c r="B834" s="4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>
        <v>0.2</v>
      </c>
      <c r="L834">
        <v>0.2576</v>
      </c>
      <c r="M834">
        <v>0.86</v>
      </c>
      <c r="N834">
        <v>0</v>
      </c>
      <c r="O834">
        <v>0</v>
      </c>
      <c r="P834">
        <v>1</v>
      </c>
      <c r="Q834">
        <v>1</v>
      </c>
    </row>
    <row r="835" spans="1:17" x14ac:dyDescent="0.3">
      <c r="A835">
        <v>834</v>
      </c>
      <c r="B835" s="4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>
        <v>0.2</v>
      </c>
      <c r="L835">
        <v>0.2576</v>
      </c>
      <c r="M835">
        <v>0.86</v>
      </c>
      <c r="N835">
        <v>0</v>
      </c>
      <c r="O835">
        <v>1</v>
      </c>
      <c r="P835">
        <v>1</v>
      </c>
      <c r="Q835">
        <v>2</v>
      </c>
    </row>
    <row r="836" spans="1:17" x14ac:dyDescent="0.3">
      <c r="A836">
        <v>835</v>
      </c>
      <c r="B836" s="4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0.2</v>
      </c>
      <c r="L836">
        <v>0.2576</v>
      </c>
      <c r="M836">
        <v>0.86</v>
      </c>
      <c r="N836">
        <v>0</v>
      </c>
      <c r="O836">
        <v>1</v>
      </c>
      <c r="P836">
        <v>9</v>
      </c>
      <c r="Q836">
        <v>10</v>
      </c>
    </row>
    <row r="837" spans="1:17" x14ac:dyDescent="0.3">
      <c r="A837">
        <v>836</v>
      </c>
      <c r="B837" s="4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0.18</v>
      </c>
      <c r="L837">
        <v>0.2424</v>
      </c>
      <c r="M837">
        <v>0.93</v>
      </c>
      <c r="N837">
        <v>0</v>
      </c>
      <c r="O837">
        <v>1</v>
      </c>
      <c r="P837">
        <v>29</v>
      </c>
      <c r="Q837">
        <v>30</v>
      </c>
    </row>
    <row r="838" spans="1:17" x14ac:dyDescent="0.3">
      <c r="A838">
        <v>837</v>
      </c>
      <c r="B838" s="4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>
        <v>0.18</v>
      </c>
      <c r="L838">
        <v>0.2424</v>
      </c>
      <c r="M838">
        <v>0.86</v>
      </c>
      <c r="N838">
        <v>0</v>
      </c>
      <c r="O838">
        <v>6</v>
      </c>
      <c r="P838">
        <v>89</v>
      </c>
      <c r="Q838">
        <v>95</v>
      </c>
    </row>
    <row r="839" spans="1:17" x14ac:dyDescent="0.3">
      <c r="A839">
        <v>838</v>
      </c>
      <c r="B839" s="4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>
        <v>0.16</v>
      </c>
      <c r="L839">
        <v>0.2273</v>
      </c>
      <c r="M839">
        <v>1</v>
      </c>
      <c r="N839">
        <v>0</v>
      </c>
      <c r="O839">
        <v>7</v>
      </c>
      <c r="P839">
        <v>223</v>
      </c>
      <c r="Q839">
        <v>230</v>
      </c>
    </row>
    <row r="840" spans="1:17" x14ac:dyDescent="0.3">
      <c r="A840">
        <v>839</v>
      </c>
      <c r="B840" s="4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>
        <v>0.22</v>
      </c>
      <c r="L840">
        <v>0.2727</v>
      </c>
      <c r="M840">
        <v>0.8</v>
      </c>
      <c r="N840">
        <v>0</v>
      </c>
      <c r="O840">
        <v>3</v>
      </c>
      <c r="P840">
        <v>115</v>
      </c>
      <c r="Q840">
        <v>118</v>
      </c>
    </row>
    <row r="841" spans="1:17" x14ac:dyDescent="0.3">
      <c r="A841">
        <v>840</v>
      </c>
      <c r="B841" s="4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>
        <v>0.24</v>
      </c>
      <c r="L841">
        <v>0.2576</v>
      </c>
      <c r="M841">
        <v>0.75</v>
      </c>
      <c r="N841">
        <v>0.1045</v>
      </c>
      <c r="O841">
        <v>6</v>
      </c>
      <c r="P841">
        <v>49</v>
      </c>
      <c r="Q841">
        <v>55</v>
      </c>
    </row>
    <row r="842" spans="1:17" x14ac:dyDescent="0.3">
      <c r="A842">
        <v>841</v>
      </c>
      <c r="B842" s="4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>
        <v>0.3</v>
      </c>
      <c r="L842">
        <v>0.31819999999999998</v>
      </c>
      <c r="M842">
        <v>0.65</v>
      </c>
      <c r="N842">
        <v>8.9599999999999999E-2</v>
      </c>
      <c r="O842">
        <v>11</v>
      </c>
      <c r="P842">
        <v>36</v>
      </c>
      <c r="Q842">
        <v>47</v>
      </c>
    </row>
    <row r="843" spans="1:17" x14ac:dyDescent="0.3">
      <c r="A843">
        <v>842</v>
      </c>
      <c r="B843" s="4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>
        <v>0.32</v>
      </c>
      <c r="L843">
        <v>0.34849999999999998</v>
      </c>
      <c r="M843">
        <v>0.62</v>
      </c>
      <c r="N843">
        <v>0</v>
      </c>
      <c r="O843">
        <v>7</v>
      </c>
      <c r="P843">
        <v>59</v>
      </c>
      <c r="Q843">
        <v>66</v>
      </c>
    </row>
    <row r="844" spans="1:17" x14ac:dyDescent="0.3">
      <c r="A844">
        <v>843</v>
      </c>
      <c r="B844" s="4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>
        <v>0.36</v>
      </c>
      <c r="L844">
        <v>0.36359999999999998</v>
      </c>
      <c r="M844">
        <v>0.56999999999999995</v>
      </c>
      <c r="N844">
        <v>8.9599999999999999E-2</v>
      </c>
      <c r="O844">
        <v>10</v>
      </c>
      <c r="P844">
        <v>54</v>
      </c>
      <c r="Q844">
        <v>64</v>
      </c>
    </row>
    <row r="845" spans="1:17" x14ac:dyDescent="0.3">
      <c r="A845">
        <v>844</v>
      </c>
      <c r="B845" s="4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>
        <v>0.36</v>
      </c>
      <c r="L845">
        <v>0.36359999999999998</v>
      </c>
      <c r="M845">
        <v>0.56999999999999995</v>
      </c>
      <c r="N845">
        <v>8.9599999999999999E-2</v>
      </c>
      <c r="O845">
        <v>8</v>
      </c>
      <c r="P845">
        <v>52</v>
      </c>
      <c r="Q845">
        <v>60</v>
      </c>
    </row>
    <row r="846" spans="1:17" x14ac:dyDescent="0.3">
      <c r="A846">
        <v>845</v>
      </c>
      <c r="B846" s="4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>
        <v>0.38</v>
      </c>
      <c r="L846">
        <v>0.39389999999999997</v>
      </c>
      <c r="M846">
        <v>0.54</v>
      </c>
      <c r="N846">
        <v>8.9599999999999999E-2</v>
      </c>
      <c r="O846">
        <v>4</v>
      </c>
      <c r="P846">
        <v>46</v>
      </c>
      <c r="Q846">
        <v>50</v>
      </c>
    </row>
    <row r="847" spans="1:17" x14ac:dyDescent="0.3">
      <c r="A847">
        <v>846</v>
      </c>
      <c r="B847" s="4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>
        <v>0.36</v>
      </c>
      <c r="L847">
        <v>0.34849999999999998</v>
      </c>
      <c r="M847">
        <v>0.56999999999999995</v>
      </c>
      <c r="N847">
        <v>0.1343</v>
      </c>
      <c r="O847">
        <v>16</v>
      </c>
      <c r="P847">
        <v>98</v>
      </c>
      <c r="Q847">
        <v>114</v>
      </c>
    </row>
    <row r="848" spans="1:17" x14ac:dyDescent="0.3">
      <c r="A848">
        <v>847</v>
      </c>
      <c r="B848" s="4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>
        <v>0.32</v>
      </c>
      <c r="L848">
        <v>0.31819999999999998</v>
      </c>
      <c r="M848">
        <v>0.7</v>
      </c>
      <c r="N848">
        <v>0.16420000000000001</v>
      </c>
      <c r="O848">
        <v>9</v>
      </c>
      <c r="P848">
        <v>207</v>
      </c>
      <c r="Q848">
        <v>216</v>
      </c>
    </row>
    <row r="849" spans="1:17" x14ac:dyDescent="0.3">
      <c r="A849">
        <v>848</v>
      </c>
      <c r="B849" s="4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>
        <v>0.34</v>
      </c>
      <c r="L849">
        <v>0.33329999999999999</v>
      </c>
      <c r="M849">
        <v>0.66</v>
      </c>
      <c r="N849">
        <v>0.1343</v>
      </c>
      <c r="O849">
        <v>5</v>
      </c>
      <c r="P849">
        <v>170</v>
      </c>
      <c r="Q849">
        <v>175</v>
      </c>
    </row>
    <row r="850" spans="1:17" x14ac:dyDescent="0.3">
      <c r="A850">
        <v>849</v>
      </c>
      <c r="B850" s="4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>
        <v>0.32</v>
      </c>
      <c r="L850">
        <v>0.34849999999999998</v>
      </c>
      <c r="M850">
        <v>0.7</v>
      </c>
      <c r="N850">
        <v>0</v>
      </c>
      <c r="O850">
        <v>5</v>
      </c>
      <c r="P850">
        <v>123</v>
      </c>
      <c r="Q850">
        <v>128</v>
      </c>
    </row>
    <row r="851" spans="1:17" x14ac:dyDescent="0.3">
      <c r="A851">
        <v>850</v>
      </c>
      <c r="B851" s="4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>
        <v>0.32</v>
      </c>
      <c r="L851">
        <v>0.33329999999999999</v>
      </c>
      <c r="M851">
        <v>0.7</v>
      </c>
      <c r="N851">
        <v>0.1045</v>
      </c>
      <c r="O851">
        <v>6</v>
      </c>
      <c r="P851">
        <v>82</v>
      </c>
      <c r="Q851">
        <v>88</v>
      </c>
    </row>
    <row r="852" spans="1:17" x14ac:dyDescent="0.3">
      <c r="A852">
        <v>851</v>
      </c>
      <c r="B852" s="4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>
        <v>0.32</v>
      </c>
      <c r="L852">
        <v>0.34849999999999998</v>
      </c>
      <c r="M852">
        <v>0.7</v>
      </c>
      <c r="N852">
        <v>0</v>
      </c>
      <c r="O852">
        <v>3</v>
      </c>
      <c r="P852">
        <v>75</v>
      </c>
      <c r="Q852">
        <v>78</v>
      </c>
    </row>
    <row r="853" spans="1:17" x14ac:dyDescent="0.3">
      <c r="A853">
        <v>852</v>
      </c>
      <c r="B853" s="4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>
        <v>0.28000000000000003</v>
      </c>
      <c r="L853">
        <v>0.30299999999999999</v>
      </c>
      <c r="M853">
        <v>0.81</v>
      </c>
      <c r="N853">
        <v>8.9599999999999999E-2</v>
      </c>
      <c r="O853">
        <v>3</v>
      </c>
      <c r="P853">
        <v>34</v>
      </c>
      <c r="Q853">
        <v>37</v>
      </c>
    </row>
    <row r="854" spans="1:17" x14ac:dyDescent="0.3">
      <c r="A854">
        <v>853</v>
      </c>
      <c r="B854" s="4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>
        <v>0.3</v>
      </c>
      <c r="L854">
        <v>0.33329999999999999</v>
      </c>
      <c r="M854">
        <v>0.81</v>
      </c>
      <c r="N854">
        <v>0</v>
      </c>
      <c r="O854">
        <v>6</v>
      </c>
      <c r="P854">
        <v>19</v>
      </c>
      <c r="Q854">
        <v>25</v>
      </c>
    </row>
    <row r="855" spans="1:17" x14ac:dyDescent="0.3">
      <c r="A855">
        <v>854</v>
      </c>
      <c r="B855" s="4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>
        <v>0.28000000000000003</v>
      </c>
      <c r="L855">
        <v>0.31819999999999998</v>
      </c>
      <c r="M855">
        <v>0.87</v>
      </c>
      <c r="N855">
        <v>0</v>
      </c>
      <c r="O855">
        <v>4</v>
      </c>
      <c r="P855">
        <v>6</v>
      </c>
      <c r="Q855">
        <v>10</v>
      </c>
    </row>
    <row r="856" spans="1:17" x14ac:dyDescent="0.3">
      <c r="A856">
        <v>855</v>
      </c>
      <c r="B856" s="4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0.28000000000000003</v>
      </c>
      <c r="L856">
        <v>0.31819999999999998</v>
      </c>
      <c r="M856">
        <v>0.87</v>
      </c>
      <c r="N856">
        <v>0</v>
      </c>
      <c r="O856">
        <v>0</v>
      </c>
      <c r="P856">
        <v>4</v>
      </c>
      <c r="Q856">
        <v>4</v>
      </c>
    </row>
    <row r="857" spans="1:17" x14ac:dyDescent="0.3">
      <c r="A857">
        <v>856</v>
      </c>
      <c r="B857" s="4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>
        <v>0.26</v>
      </c>
      <c r="L857">
        <v>0.2727</v>
      </c>
      <c r="M857">
        <v>0.93</v>
      </c>
      <c r="N857">
        <v>0.1045</v>
      </c>
      <c r="O857">
        <v>1</v>
      </c>
      <c r="P857">
        <v>1</v>
      </c>
      <c r="Q857">
        <v>2</v>
      </c>
    </row>
    <row r="858" spans="1:17" x14ac:dyDescent="0.3">
      <c r="A858">
        <v>857</v>
      </c>
      <c r="B858" s="4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>
        <v>0.28000000000000003</v>
      </c>
      <c r="L858">
        <v>0.2727</v>
      </c>
      <c r="M858">
        <v>0.93</v>
      </c>
      <c r="N858">
        <v>0.16420000000000001</v>
      </c>
      <c r="O858">
        <v>0</v>
      </c>
      <c r="P858">
        <v>1</v>
      </c>
      <c r="Q858">
        <v>1</v>
      </c>
    </row>
    <row r="859" spans="1:17" x14ac:dyDescent="0.3">
      <c r="A859">
        <v>858</v>
      </c>
      <c r="B859" s="4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>
        <v>0.26</v>
      </c>
      <c r="L859">
        <v>0.2576</v>
      </c>
      <c r="M859">
        <v>0.93</v>
      </c>
      <c r="N859">
        <v>0.16420000000000001</v>
      </c>
      <c r="O859">
        <v>0</v>
      </c>
      <c r="P859">
        <v>3</v>
      </c>
      <c r="Q859">
        <v>3</v>
      </c>
    </row>
    <row r="860" spans="1:17" x14ac:dyDescent="0.3">
      <c r="A860">
        <v>859</v>
      </c>
      <c r="B860" s="4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>
        <v>0.26</v>
      </c>
      <c r="L860">
        <v>0.2273</v>
      </c>
      <c r="M860">
        <v>0.81</v>
      </c>
      <c r="N860">
        <v>0.32840000000000003</v>
      </c>
      <c r="O860">
        <v>0</v>
      </c>
      <c r="P860">
        <v>2</v>
      </c>
      <c r="Q860">
        <v>2</v>
      </c>
    </row>
    <row r="861" spans="1:17" x14ac:dyDescent="0.3">
      <c r="A861">
        <v>860</v>
      </c>
      <c r="B861" s="4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>
        <v>0.26</v>
      </c>
      <c r="L861">
        <v>0.2273</v>
      </c>
      <c r="M861">
        <v>0.7</v>
      </c>
      <c r="N861">
        <v>0.32840000000000003</v>
      </c>
      <c r="O861">
        <v>0</v>
      </c>
      <c r="P861">
        <v>39</v>
      </c>
      <c r="Q861">
        <v>39</v>
      </c>
    </row>
    <row r="862" spans="1:17" x14ac:dyDescent="0.3">
      <c r="A862">
        <v>861</v>
      </c>
      <c r="B862" s="4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>
        <v>0.24</v>
      </c>
      <c r="L862">
        <v>0.19700000000000001</v>
      </c>
      <c r="M862">
        <v>0.65</v>
      </c>
      <c r="N862">
        <v>0.41789999999999999</v>
      </c>
      <c r="O862">
        <v>3</v>
      </c>
      <c r="P862">
        <v>97</v>
      </c>
      <c r="Q862">
        <v>100</v>
      </c>
    </row>
    <row r="863" spans="1:17" x14ac:dyDescent="0.3">
      <c r="A863">
        <v>862</v>
      </c>
      <c r="B863" s="4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>
        <v>0.24</v>
      </c>
      <c r="L863">
        <v>0.19700000000000001</v>
      </c>
      <c r="M863">
        <v>0.56000000000000005</v>
      </c>
      <c r="N863">
        <v>0.49249999999999999</v>
      </c>
      <c r="O863">
        <v>7</v>
      </c>
      <c r="P863">
        <v>236</v>
      </c>
      <c r="Q863">
        <v>243</v>
      </c>
    </row>
    <row r="864" spans="1:17" x14ac:dyDescent="0.3">
      <c r="A864">
        <v>863</v>
      </c>
      <c r="B864" s="4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>
        <v>0.24</v>
      </c>
      <c r="L864">
        <v>0.19700000000000001</v>
      </c>
      <c r="M864">
        <v>0.52</v>
      </c>
      <c r="N864">
        <v>0.49249999999999999</v>
      </c>
      <c r="O864">
        <v>7</v>
      </c>
      <c r="P864">
        <v>128</v>
      </c>
      <c r="Q864">
        <v>135</v>
      </c>
    </row>
    <row r="865" spans="1:17" x14ac:dyDescent="0.3">
      <c r="A865">
        <v>864</v>
      </c>
      <c r="B865" s="4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>
        <v>0.22</v>
      </c>
      <c r="L865">
        <v>0.18179999999999999</v>
      </c>
      <c r="M865">
        <v>0.47</v>
      </c>
      <c r="N865">
        <v>0.55220000000000002</v>
      </c>
      <c r="O865">
        <v>4</v>
      </c>
      <c r="P865">
        <v>44</v>
      </c>
      <c r="Q865">
        <v>48</v>
      </c>
    </row>
    <row r="866" spans="1:17" x14ac:dyDescent="0.3">
      <c r="A866">
        <v>865</v>
      </c>
      <c r="B866" s="4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>
        <v>0.22</v>
      </c>
      <c r="L866">
        <v>0.18179999999999999</v>
      </c>
      <c r="M866">
        <v>0.47</v>
      </c>
      <c r="N866">
        <v>0.4627</v>
      </c>
      <c r="O866">
        <v>1</v>
      </c>
      <c r="P866">
        <v>49</v>
      </c>
      <c r="Q866">
        <v>50</v>
      </c>
    </row>
    <row r="867" spans="1:17" x14ac:dyDescent="0.3">
      <c r="A867">
        <v>866</v>
      </c>
      <c r="B867" s="4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>
        <v>0.24</v>
      </c>
      <c r="L867">
        <v>0.19700000000000001</v>
      </c>
      <c r="M867">
        <v>0.38</v>
      </c>
      <c r="N867">
        <v>0.49249999999999999</v>
      </c>
      <c r="O867">
        <v>2</v>
      </c>
      <c r="P867">
        <v>63</v>
      </c>
      <c r="Q867">
        <v>65</v>
      </c>
    </row>
    <row r="868" spans="1:17" x14ac:dyDescent="0.3">
      <c r="A868">
        <v>867</v>
      </c>
      <c r="B868" s="4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>
        <v>0.24</v>
      </c>
      <c r="L868">
        <v>0.19700000000000001</v>
      </c>
      <c r="M868">
        <v>0.32</v>
      </c>
      <c r="N868">
        <v>0.44779999999999998</v>
      </c>
      <c r="O868">
        <v>2</v>
      </c>
      <c r="P868">
        <v>48</v>
      </c>
      <c r="Q868">
        <v>50</v>
      </c>
    </row>
    <row r="869" spans="1:17" x14ac:dyDescent="0.3">
      <c r="A869">
        <v>868</v>
      </c>
      <c r="B869" s="4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>
        <v>0.22</v>
      </c>
      <c r="L869">
        <v>0.19700000000000001</v>
      </c>
      <c r="M869">
        <v>0.37</v>
      </c>
      <c r="N869">
        <v>0.41789999999999999</v>
      </c>
      <c r="O869">
        <v>3</v>
      </c>
      <c r="P869">
        <v>61</v>
      </c>
      <c r="Q869">
        <v>64</v>
      </c>
    </row>
    <row r="870" spans="1:17" x14ac:dyDescent="0.3">
      <c r="A870">
        <v>869</v>
      </c>
      <c r="B870" s="4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>
        <v>0.22</v>
      </c>
      <c r="L870">
        <v>0.19700000000000001</v>
      </c>
      <c r="M870">
        <v>0.35</v>
      </c>
      <c r="N870">
        <v>0.3881</v>
      </c>
      <c r="O870">
        <v>6</v>
      </c>
      <c r="P870">
        <v>45</v>
      </c>
      <c r="Q870">
        <v>51</v>
      </c>
    </row>
    <row r="871" spans="1:17" x14ac:dyDescent="0.3">
      <c r="A871">
        <v>870</v>
      </c>
      <c r="B871" s="4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>
        <v>0.22</v>
      </c>
      <c r="L871">
        <v>0.18179999999999999</v>
      </c>
      <c r="M871">
        <v>0.35</v>
      </c>
      <c r="N871">
        <v>0.52239999999999998</v>
      </c>
      <c r="O871">
        <v>4</v>
      </c>
      <c r="P871">
        <v>79</v>
      </c>
      <c r="Q871">
        <v>83</v>
      </c>
    </row>
    <row r="872" spans="1:17" x14ac:dyDescent="0.3">
      <c r="A872">
        <v>871</v>
      </c>
      <c r="B872" s="4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>
        <v>0.22</v>
      </c>
      <c r="L872">
        <v>0.18179999999999999</v>
      </c>
      <c r="M872">
        <v>0.32</v>
      </c>
      <c r="N872">
        <v>0.58209999999999995</v>
      </c>
      <c r="O872">
        <v>4</v>
      </c>
      <c r="P872">
        <v>172</v>
      </c>
      <c r="Q872">
        <v>176</v>
      </c>
    </row>
    <row r="873" spans="1:17" x14ac:dyDescent="0.3">
      <c r="A873">
        <v>872</v>
      </c>
      <c r="B873" s="4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>
        <v>0.2</v>
      </c>
      <c r="L873">
        <v>0.18179999999999999</v>
      </c>
      <c r="M873">
        <v>0.32</v>
      </c>
      <c r="N873">
        <v>0.3881</v>
      </c>
      <c r="O873">
        <v>1</v>
      </c>
      <c r="P873">
        <v>151</v>
      </c>
      <c r="Q873">
        <v>152</v>
      </c>
    </row>
    <row r="874" spans="1:17" x14ac:dyDescent="0.3">
      <c r="A874">
        <v>873</v>
      </c>
      <c r="B874" s="4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>
        <v>0.16</v>
      </c>
      <c r="L874">
        <v>0.1212</v>
      </c>
      <c r="M874">
        <v>0.4</v>
      </c>
      <c r="N874">
        <v>0.4627</v>
      </c>
      <c r="O874">
        <v>1</v>
      </c>
      <c r="P874">
        <v>100</v>
      </c>
      <c r="Q874">
        <v>101</v>
      </c>
    </row>
    <row r="875" spans="1:17" x14ac:dyDescent="0.3">
      <c r="A875">
        <v>874</v>
      </c>
      <c r="B875" s="4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>
        <v>0.16</v>
      </c>
      <c r="L875">
        <v>0.13639999999999999</v>
      </c>
      <c r="M875">
        <v>0.4</v>
      </c>
      <c r="N875">
        <v>0.32840000000000003</v>
      </c>
      <c r="O875">
        <v>3</v>
      </c>
      <c r="P875">
        <v>53</v>
      </c>
      <c r="Q875">
        <v>56</v>
      </c>
    </row>
    <row r="876" spans="1:17" x14ac:dyDescent="0.3">
      <c r="A876">
        <v>875</v>
      </c>
      <c r="B876" s="4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>
        <v>0.14000000000000001</v>
      </c>
      <c r="L876">
        <v>0.1061</v>
      </c>
      <c r="M876">
        <v>0.33</v>
      </c>
      <c r="N876">
        <v>0.4627</v>
      </c>
      <c r="O876">
        <v>8</v>
      </c>
      <c r="P876">
        <v>46</v>
      </c>
      <c r="Q876">
        <v>54</v>
      </c>
    </row>
    <row r="877" spans="1:17" x14ac:dyDescent="0.3">
      <c r="A877">
        <v>876</v>
      </c>
      <c r="B877" s="4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>
        <v>0.12</v>
      </c>
      <c r="L877">
        <v>0.1061</v>
      </c>
      <c r="M877">
        <v>0.33</v>
      </c>
      <c r="N877">
        <v>0.35820000000000002</v>
      </c>
      <c r="O877">
        <v>0</v>
      </c>
      <c r="P877">
        <v>29</v>
      </c>
      <c r="Q877">
        <v>29</v>
      </c>
    </row>
    <row r="878" spans="1:17" x14ac:dyDescent="0.3">
      <c r="A878">
        <v>877</v>
      </c>
      <c r="B878" s="4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>
        <v>0.12</v>
      </c>
      <c r="L878">
        <v>0.1061</v>
      </c>
      <c r="M878">
        <v>0.33</v>
      </c>
      <c r="N878">
        <v>0.32840000000000003</v>
      </c>
      <c r="O878">
        <v>3</v>
      </c>
      <c r="P878">
        <v>9</v>
      </c>
      <c r="Q878">
        <v>12</v>
      </c>
    </row>
    <row r="879" spans="1:17" x14ac:dyDescent="0.3">
      <c r="A879">
        <v>878</v>
      </c>
      <c r="B879" s="4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0.1</v>
      </c>
      <c r="L879">
        <v>7.5800000000000006E-2</v>
      </c>
      <c r="M879">
        <v>0.36</v>
      </c>
      <c r="N879">
        <v>0.35820000000000002</v>
      </c>
      <c r="O879">
        <v>0</v>
      </c>
      <c r="P879">
        <v>17</v>
      </c>
      <c r="Q879">
        <v>17</v>
      </c>
    </row>
    <row r="880" spans="1:17" x14ac:dyDescent="0.3">
      <c r="A880">
        <v>879</v>
      </c>
      <c r="B880" s="4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>
        <v>0.1</v>
      </c>
      <c r="L880">
        <v>0.1061</v>
      </c>
      <c r="M880">
        <v>0.36</v>
      </c>
      <c r="N880">
        <v>0.22389999999999999</v>
      </c>
      <c r="O880">
        <v>0</v>
      </c>
      <c r="P880">
        <v>7</v>
      </c>
      <c r="Q880">
        <v>7</v>
      </c>
    </row>
    <row r="881" spans="1:17" x14ac:dyDescent="0.3">
      <c r="A881">
        <v>880</v>
      </c>
      <c r="B881" s="4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>
        <v>0.08</v>
      </c>
      <c r="L881">
        <v>7.5800000000000006E-2</v>
      </c>
      <c r="M881">
        <v>0.38</v>
      </c>
      <c r="N881">
        <v>0.28360000000000002</v>
      </c>
      <c r="O881">
        <v>1</v>
      </c>
      <c r="P881">
        <v>2</v>
      </c>
      <c r="Q881">
        <v>3</v>
      </c>
    </row>
    <row r="882" spans="1:17" x14ac:dyDescent="0.3">
      <c r="A882">
        <v>881</v>
      </c>
      <c r="B882" s="4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>
        <v>0.06</v>
      </c>
      <c r="L882">
        <v>7.5800000000000006E-2</v>
      </c>
      <c r="M882">
        <v>0.45</v>
      </c>
      <c r="N882">
        <v>0.1343</v>
      </c>
      <c r="O882">
        <v>0</v>
      </c>
      <c r="P882">
        <v>2</v>
      </c>
      <c r="Q882">
        <v>2</v>
      </c>
    </row>
    <row r="883" spans="1:17" x14ac:dyDescent="0.3">
      <c r="A883">
        <v>882</v>
      </c>
      <c r="B883" s="4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>
        <v>0.06</v>
      </c>
      <c r="L883">
        <v>0.1061</v>
      </c>
      <c r="M883">
        <v>0.45</v>
      </c>
      <c r="N883">
        <v>0.1045</v>
      </c>
      <c r="O883">
        <v>0</v>
      </c>
      <c r="P883">
        <v>7</v>
      </c>
      <c r="Q883">
        <v>7</v>
      </c>
    </row>
    <row r="884" spans="1:17" x14ac:dyDescent="0.3">
      <c r="A884">
        <v>883</v>
      </c>
      <c r="B884" s="4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>
        <v>0.06</v>
      </c>
      <c r="L884">
        <v>0.1515</v>
      </c>
      <c r="M884">
        <v>0.45</v>
      </c>
      <c r="N884">
        <v>0</v>
      </c>
      <c r="O884">
        <v>0</v>
      </c>
      <c r="P884">
        <v>43</v>
      </c>
      <c r="Q884">
        <v>43</v>
      </c>
    </row>
    <row r="885" spans="1:17" x14ac:dyDescent="0.3">
      <c r="A885">
        <v>884</v>
      </c>
      <c r="B885" s="4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>
        <v>0.06</v>
      </c>
      <c r="L885">
        <v>0.1061</v>
      </c>
      <c r="M885">
        <v>0.49</v>
      </c>
      <c r="N885">
        <v>0.1045</v>
      </c>
      <c r="O885">
        <v>4</v>
      </c>
      <c r="P885">
        <v>95</v>
      </c>
      <c r="Q885">
        <v>99</v>
      </c>
    </row>
    <row r="886" spans="1:17" x14ac:dyDescent="0.3">
      <c r="A886">
        <v>885</v>
      </c>
      <c r="B886" s="4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>
        <v>0.1</v>
      </c>
      <c r="L886">
        <v>0.13639999999999999</v>
      </c>
      <c r="M886">
        <v>0.42</v>
      </c>
      <c r="N886">
        <v>0</v>
      </c>
      <c r="O886">
        <v>1</v>
      </c>
      <c r="P886">
        <v>198</v>
      </c>
      <c r="Q886">
        <v>199</v>
      </c>
    </row>
    <row r="887" spans="1:17" x14ac:dyDescent="0.3">
      <c r="A887">
        <v>886</v>
      </c>
      <c r="B887" s="4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>
        <v>0.12</v>
      </c>
      <c r="L887">
        <v>0.13639999999999999</v>
      </c>
      <c r="M887">
        <v>0.39</v>
      </c>
      <c r="N887">
        <v>0.16420000000000001</v>
      </c>
      <c r="O887">
        <v>4</v>
      </c>
      <c r="P887">
        <v>119</v>
      </c>
      <c r="Q887">
        <v>123</v>
      </c>
    </row>
    <row r="888" spans="1:17" x14ac:dyDescent="0.3">
      <c r="A888">
        <v>887</v>
      </c>
      <c r="B888" s="4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>
        <v>0.14000000000000001</v>
      </c>
      <c r="L888">
        <v>0.18179999999999999</v>
      </c>
      <c r="M888">
        <v>0.36</v>
      </c>
      <c r="N888">
        <v>0</v>
      </c>
      <c r="O888">
        <v>8</v>
      </c>
      <c r="P888">
        <v>51</v>
      </c>
      <c r="Q888">
        <v>59</v>
      </c>
    </row>
    <row r="889" spans="1:17" x14ac:dyDescent="0.3">
      <c r="A889">
        <v>888</v>
      </c>
      <c r="B889" s="4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>
        <v>0.14000000000000001</v>
      </c>
      <c r="L889">
        <v>0.1515</v>
      </c>
      <c r="M889">
        <v>0.43</v>
      </c>
      <c r="N889">
        <v>0.16420000000000001</v>
      </c>
      <c r="O889">
        <v>1</v>
      </c>
      <c r="P889">
        <v>40</v>
      </c>
      <c r="Q889">
        <v>41</v>
      </c>
    </row>
    <row r="890" spans="1:17" x14ac:dyDescent="0.3">
      <c r="A890">
        <v>889</v>
      </c>
      <c r="B890" s="4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>
        <v>0.18</v>
      </c>
      <c r="L890">
        <v>0.18179999999999999</v>
      </c>
      <c r="M890">
        <v>0.4</v>
      </c>
      <c r="N890">
        <v>0.22389999999999999</v>
      </c>
      <c r="O890">
        <v>4</v>
      </c>
      <c r="P890">
        <v>57</v>
      </c>
      <c r="Q890">
        <v>61</v>
      </c>
    </row>
    <row r="891" spans="1:17" x14ac:dyDescent="0.3">
      <c r="A891">
        <v>890</v>
      </c>
      <c r="B891" s="4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>
        <v>0.18</v>
      </c>
      <c r="L891">
        <v>0.16669999999999999</v>
      </c>
      <c r="M891">
        <v>0.4</v>
      </c>
      <c r="N891">
        <v>0.25369999999999998</v>
      </c>
      <c r="O891">
        <v>2</v>
      </c>
      <c r="P891">
        <v>67</v>
      </c>
      <c r="Q891">
        <v>69</v>
      </c>
    </row>
    <row r="892" spans="1:17" x14ac:dyDescent="0.3">
      <c r="A892">
        <v>891</v>
      </c>
      <c r="B892" s="4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>
        <v>0.2</v>
      </c>
      <c r="L892">
        <v>0.18179999999999999</v>
      </c>
      <c r="M892">
        <v>0.34</v>
      </c>
      <c r="N892">
        <v>0.29849999999999999</v>
      </c>
      <c r="O892">
        <v>2</v>
      </c>
      <c r="P892">
        <v>56</v>
      </c>
      <c r="Q892">
        <v>58</v>
      </c>
    </row>
    <row r="893" spans="1:17" x14ac:dyDescent="0.3">
      <c r="A893">
        <v>892</v>
      </c>
      <c r="B893" s="4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>
        <v>0.2</v>
      </c>
      <c r="L893">
        <v>0.18179999999999999</v>
      </c>
      <c r="M893">
        <v>0.34</v>
      </c>
      <c r="N893">
        <v>0.28360000000000002</v>
      </c>
      <c r="O893">
        <v>3</v>
      </c>
      <c r="P893">
        <v>61</v>
      </c>
      <c r="Q893">
        <v>64</v>
      </c>
    </row>
    <row r="894" spans="1:17" x14ac:dyDescent="0.3">
      <c r="A894">
        <v>893</v>
      </c>
      <c r="B894" s="4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>
        <v>0.2</v>
      </c>
      <c r="L894">
        <v>0.19700000000000001</v>
      </c>
      <c r="M894">
        <v>0.37</v>
      </c>
      <c r="N894">
        <v>0.25369999999999998</v>
      </c>
      <c r="O894">
        <v>7</v>
      </c>
      <c r="P894">
        <v>72</v>
      </c>
      <c r="Q894">
        <v>79</v>
      </c>
    </row>
    <row r="895" spans="1:17" x14ac:dyDescent="0.3">
      <c r="A895">
        <v>894</v>
      </c>
      <c r="B895" s="4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>
        <v>0.2</v>
      </c>
      <c r="L895">
        <v>0.19700000000000001</v>
      </c>
      <c r="M895">
        <v>0.34</v>
      </c>
      <c r="N895">
        <v>0.25369999999999998</v>
      </c>
      <c r="O895">
        <v>9</v>
      </c>
      <c r="P895">
        <v>157</v>
      </c>
      <c r="Q895">
        <v>166</v>
      </c>
    </row>
    <row r="896" spans="1:17" x14ac:dyDescent="0.3">
      <c r="A896">
        <v>895</v>
      </c>
      <c r="B896" s="4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>
        <v>0.18</v>
      </c>
      <c r="L896">
        <v>0.16669999999999999</v>
      </c>
      <c r="M896">
        <v>0.47</v>
      </c>
      <c r="N896">
        <v>0.29849999999999999</v>
      </c>
      <c r="O896">
        <v>2</v>
      </c>
      <c r="P896">
        <v>168</v>
      </c>
      <c r="Q896">
        <v>170</v>
      </c>
    </row>
    <row r="897" spans="1:17" x14ac:dyDescent="0.3">
      <c r="A897">
        <v>896</v>
      </c>
      <c r="B897" s="4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>
        <v>0.14000000000000001</v>
      </c>
      <c r="L897">
        <v>0.1212</v>
      </c>
      <c r="M897">
        <v>0.86</v>
      </c>
      <c r="N897">
        <v>0.25369999999999998</v>
      </c>
      <c r="O897">
        <v>1</v>
      </c>
      <c r="P897">
        <v>87</v>
      </c>
      <c r="Q897">
        <v>88</v>
      </c>
    </row>
    <row r="898" spans="1:17" x14ac:dyDescent="0.3">
      <c r="A898">
        <v>897</v>
      </c>
      <c r="B898" s="4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>
        <v>0.14000000000000001</v>
      </c>
      <c r="L898">
        <v>0.1515</v>
      </c>
      <c r="M898">
        <v>0.86</v>
      </c>
      <c r="N898">
        <v>0.16420000000000001</v>
      </c>
      <c r="O898">
        <v>0</v>
      </c>
      <c r="P898">
        <v>84</v>
      </c>
      <c r="Q898">
        <v>84</v>
      </c>
    </row>
    <row r="899" spans="1:17" x14ac:dyDescent="0.3">
      <c r="A899">
        <v>898</v>
      </c>
      <c r="B899" s="4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>
        <v>0.14000000000000001</v>
      </c>
      <c r="L899">
        <v>0.1515</v>
      </c>
      <c r="M899">
        <v>0.86</v>
      </c>
      <c r="N899">
        <v>0.16420000000000001</v>
      </c>
      <c r="O899">
        <v>0</v>
      </c>
      <c r="P899">
        <v>83</v>
      </c>
      <c r="Q899">
        <v>83</v>
      </c>
    </row>
    <row r="900" spans="1:17" x14ac:dyDescent="0.3">
      <c r="A900">
        <v>899</v>
      </c>
      <c r="B900" s="4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>
        <v>0.16</v>
      </c>
      <c r="L900">
        <v>0.16669999999999999</v>
      </c>
      <c r="M900">
        <v>0.8</v>
      </c>
      <c r="N900">
        <v>0.16420000000000001</v>
      </c>
      <c r="O900">
        <v>4</v>
      </c>
      <c r="P900">
        <v>42</v>
      </c>
      <c r="Q900">
        <v>46</v>
      </c>
    </row>
    <row r="901" spans="1:17" x14ac:dyDescent="0.3">
      <c r="A901">
        <v>900</v>
      </c>
      <c r="B901" s="4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>
        <v>0.16</v>
      </c>
      <c r="L901">
        <v>0.1515</v>
      </c>
      <c r="M901">
        <v>0.8</v>
      </c>
      <c r="N901">
        <v>0.19400000000000001</v>
      </c>
      <c r="O901">
        <v>0</v>
      </c>
      <c r="P901">
        <v>37</v>
      </c>
      <c r="Q901">
        <v>37</v>
      </c>
    </row>
    <row r="902" spans="1:17" x14ac:dyDescent="0.3">
      <c r="A902">
        <v>901</v>
      </c>
      <c r="B902" s="4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>
        <v>0.14000000000000001</v>
      </c>
      <c r="L902">
        <v>0.13639999999999999</v>
      </c>
      <c r="M902">
        <v>0.86</v>
      </c>
      <c r="N902">
        <v>0.19400000000000001</v>
      </c>
      <c r="O902">
        <v>0</v>
      </c>
      <c r="P902">
        <v>16</v>
      </c>
      <c r="Q902">
        <v>16</v>
      </c>
    </row>
    <row r="903" spans="1:17" x14ac:dyDescent="0.3">
      <c r="A903">
        <v>902</v>
      </c>
      <c r="B903" s="4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>
        <v>0.14000000000000001</v>
      </c>
      <c r="L903">
        <v>0.1515</v>
      </c>
      <c r="M903">
        <v>0.8</v>
      </c>
      <c r="N903">
        <v>0.1343</v>
      </c>
      <c r="O903">
        <v>0</v>
      </c>
      <c r="P903">
        <v>7</v>
      </c>
      <c r="Q903">
        <v>7</v>
      </c>
    </row>
    <row r="904" spans="1:17" x14ac:dyDescent="0.3">
      <c r="A904">
        <v>903</v>
      </c>
      <c r="B904" s="4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>
        <v>0.14000000000000001</v>
      </c>
      <c r="L904">
        <v>0.1515</v>
      </c>
      <c r="M904">
        <v>0.8</v>
      </c>
      <c r="N904">
        <v>0.1343</v>
      </c>
      <c r="O904">
        <v>0</v>
      </c>
      <c r="P904">
        <v>3</v>
      </c>
      <c r="Q904">
        <v>3</v>
      </c>
    </row>
    <row r="905" spans="1:17" x14ac:dyDescent="0.3">
      <c r="A905">
        <v>904</v>
      </c>
      <c r="B905" s="4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>
        <v>0.14000000000000001</v>
      </c>
      <c r="L905">
        <v>0.13639999999999999</v>
      </c>
      <c r="M905">
        <v>0.59</v>
      </c>
      <c r="N905">
        <v>0.22389999999999999</v>
      </c>
      <c r="O905">
        <v>0</v>
      </c>
      <c r="P905">
        <v>1</v>
      </c>
      <c r="Q905">
        <v>1</v>
      </c>
    </row>
    <row r="906" spans="1:17" x14ac:dyDescent="0.3">
      <c r="A906">
        <v>905</v>
      </c>
      <c r="B906" s="4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>
        <v>0.12</v>
      </c>
      <c r="L906">
        <v>0.1212</v>
      </c>
      <c r="M906">
        <v>0.5</v>
      </c>
      <c r="N906">
        <v>0.22389999999999999</v>
      </c>
      <c r="O906">
        <v>0</v>
      </c>
      <c r="P906">
        <v>6</v>
      </c>
      <c r="Q906">
        <v>6</v>
      </c>
    </row>
    <row r="907" spans="1:17" x14ac:dyDescent="0.3">
      <c r="A907">
        <v>906</v>
      </c>
      <c r="B907" s="4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>
        <v>0.12</v>
      </c>
      <c r="L907">
        <v>0.1212</v>
      </c>
      <c r="M907">
        <v>0.54</v>
      </c>
      <c r="N907">
        <v>0.28360000000000002</v>
      </c>
      <c r="O907">
        <v>0</v>
      </c>
      <c r="P907">
        <v>26</v>
      </c>
      <c r="Q907">
        <v>26</v>
      </c>
    </row>
    <row r="908" spans="1:17" x14ac:dyDescent="0.3">
      <c r="A908">
        <v>907</v>
      </c>
      <c r="B908" s="4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>
        <v>0.1</v>
      </c>
      <c r="L908">
        <v>7.5800000000000006E-2</v>
      </c>
      <c r="M908">
        <v>0.5</v>
      </c>
      <c r="N908">
        <v>0.41789999999999999</v>
      </c>
      <c r="O908">
        <v>0</v>
      </c>
      <c r="P908">
        <v>99</v>
      </c>
      <c r="Q908">
        <v>99</v>
      </c>
    </row>
    <row r="909" spans="1:17" x14ac:dyDescent="0.3">
      <c r="A909">
        <v>908</v>
      </c>
      <c r="B909" s="4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>
        <v>0.1</v>
      </c>
      <c r="L909">
        <v>7.5800000000000006E-2</v>
      </c>
      <c r="M909">
        <v>0.49</v>
      </c>
      <c r="N909">
        <v>0.32840000000000003</v>
      </c>
      <c r="O909">
        <v>5</v>
      </c>
      <c r="P909">
        <v>173</v>
      </c>
      <c r="Q909">
        <v>178</v>
      </c>
    </row>
    <row r="910" spans="1:17" x14ac:dyDescent="0.3">
      <c r="A910">
        <v>909</v>
      </c>
      <c r="B910" s="4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>
        <v>0.12</v>
      </c>
      <c r="L910">
        <v>0.1061</v>
      </c>
      <c r="M910">
        <v>0.42</v>
      </c>
      <c r="N910">
        <v>0.35820000000000002</v>
      </c>
      <c r="O910">
        <v>1</v>
      </c>
      <c r="P910">
        <v>121</v>
      </c>
      <c r="Q910">
        <v>122</v>
      </c>
    </row>
    <row r="911" spans="1:17" x14ac:dyDescent="0.3">
      <c r="A911">
        <v>910</v>
      </c>
      <c r="B911" s="4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>
        <v>0.12</v>
      </c>
      <c r="L911">
        <v>0.1061</v>
      </c>
      <c r="M911">
        <v>0.42</v>
      </c>
      <c r="N911">
        <v>0.29849999999999999</v>
      </c>
      <c r="O911">
        <v>1</v>
      </c>
      <c r="P911">
        <v>34</v>
      </c>
      <c r="Q911">
        <v>35</v>
      </c>
    </row>
    <row r="912" spans="1:17" x14ac:dyDescent="0.3">
      <c r="A912">
        <v>911</v>
      </c>
      <c r="B912" s="4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>
        <v>0.14000000000000001</v>
      </c>
      <c r="L912">
        <v>0.1212</v>
      </c>
      <c r="M912">
        <v>0.39</v>
      </c>
      <c r="N912">
        <v>0.35820000000000002</v>
      </c>
      <c r="O912">
        <v>1</v>
      </c>
      <c r="P912">
        <v>44</v>
      </c>
      <c r="Q912">
        <v>45</v>
      </c>
    </row>
    <row r="913" spans="1:17" x14ac:dyDescent="0.3">
      <c r="A913">
        <v>912</v>
      </c>
      <c r="B913" s="4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>
        <v>0.16</v>
      </c>
      <c r="L913">
        <v>0.13639999999999999</v>
      </c>
      <c r="M913">
        <v>0.34</v>
      </c>
      <c r="N913">
        <v>0.3881</v>
      </c>
      <c r="O913">
        <v>4</v>
      </c>
      <c r="P913">
        <v>65</v>
      </c>
      <c r="Q913">
        <v>69</v>
      </c>
    </row>
    <row r="914" spans="1:17" x14ac:dyDescent="0.3">
      <c r="A914">
        <v>913</v>
      </c>
      <c r="B914" s="4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>
        <v>0.18</v>
      </c>
      <c r="L914">
        <v>0.16669999999999999</v>
      </c>
      <c r="M914">
        <v>0.28999999999999998</v>
      </c>
      <c r="N914">
        <v>0.29849999999999999</v>
      </c>
      <c r="O914">
        <v>3</v>
      </c>
      <c r="P914">
        <v>59</v>
      </c>
      <c r="Q914">
        <v>62</v>
      </c>
    </row>
    <row r="915" spans="1:17" x14ac:dyDescent="0.3">
      <c r="A915">
        <v>914</v>
      </c>
      <c r="B915" s="4">
        <v>40584</v>
      </c>
      <c r="C915">
        <v>5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>
        <v>0.2</v>
      </c>
      <c r="L915">
        <v>0.18179999999999999</v>
      </c>
      <c r="M915">
        <v>0.27</v>
      </c>
      <c r="N915">
        <v>0.28360000000000002</v>
      </c>
      <c r="O915">
        <v>6</v>
      </c>
      <c r="P915">
        <v>42</v>
      </c>
      <c r="Q915">
        <v>48</v>
      </c>
    </row>
    <row r="916" spans="1:17" x14ac:dyDescent="0.3">
      <c r="A916">
        <v>915</v>
      </c>
      <c r="B916" s="4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>
        <v>0.2</v>
      </c>
      <c r="L916">
        <v>0.19700000000000001</v>
      </c>
      <c r="M916">
        <v>0.25</v>
      </c>
      <c r="N916">
        <v>0.25369999999999998</v>
      </c>
      <c r="O916">
        <v>0</v>
      </c>
      <c r="P916">
        <v>50</v>
      </c>
      <c r="Q916">
        <v>50</v>
      </c>
    </row>
    <row r="917" spans="1:17" x14ac:dyDescent="0.3">
      <c r="A917">
        <v>916</v>
      </c>
      <c r="B917" s="4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>
        <v>0.2</v>
      </c>
      <c r="L917">
        <v>0.18179999999999999</v>
      </c>
      <c r="M917">
        <v>0.27</v>
      </c>
      <c r="N917">
        <v>0.29849999999999999</v>
      </c>
      <c r="O917">
        <v>4</v>
      </c>
      <c r="P917">
        <v>76</v>
      </c>
      <c r="Q917">
        <v>80</v>
      </c>
    </row>
    <row r="918" spans="1:17" x14ac:dyDescent="0.3">
      <c r="A918">
        <v>917</v>
      </c>
      <c r="B918" s="4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>
        <v>0.18</v>
      </c>
      <c r="L918">
        <v>0.18179999999999999</v>
      </c>
      <c r="M918">
        <v>0.26</v>
      </c>
      <c r="N918">
        <v>0.19400000000000001</v>
      </c>
      <c r="O918">
        <v>6</v>
      </c>
      <c r="P918">
        <v>159</v>
      </c>
      <c r="Q918">
        <v>165</v>
      </c>
    </row>
    <row r="919" spans="1:17" x14ac:dyDescent="0.3">
      <c r="A919">
        <v>918</v>
      </c>
      <c r="B919" s="4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>
        <v>0.16</v>
      </c>
      <c r="L919">
        <v>0.18179999999999999</v>
      </c>
      <c r="M919">
        <v>0.28000000000000003</v>
      </c>
      <c r="N919">
        <v>0.1343</v>
      </c>
      <c r="O919">
        <v>3</v>
      </c>
      <c r="P919">
        <v>157</v>
      </c>
      <c r="Q919">
        <v>160</v>
      </c>
    </row>
    <row r="920" spans="1:17" x14ac:dyDescent="0.3">
      <c r="A920">
        <v>919</v>
      </c>
      <c r="B920" s="4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>
        <v>0.14000000000000001</v>
      </c>
      <c r="L920">
        <v>0.16669999999999999</v>
      </c>
      <c r="M920">
        <v>0.28000000000000003</v>
      </c>
      <c r="N920">
        <v>0.1045</v>
      </c>
      <c r="O920">
        <v>2</v>
      </c>
      <c r="P920">
        <v>110</v>
      </c>
      <c r="Q920">
        <v>112</v>
      </c>
    </row>
    <row r="921" spans="1:17" x14ac:dyDescent="0.3">
      <c r="A921">
        <v>920</v>
      </c>
      <c r="B921" s="4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>
        <v>0.14000000000000001</v>
      </c>
      <c r="L921">
        <v>0.18179999999999999</v>
      </c>
      <c r="M921">
        <v>0.31</v>
      </c>
      <c r="N921">
        <v>8.9599999999999999E-2</v>
      </c>
      <c r="O921">
        <v>4</v>
      </c>
      <c r="P921">
        <v>93</v>
      </c>
      <c r="Q921">
        <v>97</v>
      </c>
    </row>
    <row r="922" spans="1:17" x14ac:dyDescent="0.3">
      <c r="A922">
        <v>921</v>
      </c>
      <c r="B922" s="4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>
        <v>0.14000000000000001</v>
      </c>
      <c r="L922">
        <v>0.21210000000000001</v>
      </c>
      <c r="M922">
        <v>0.39</v>
      </c>
      <c r="N922">
        <v>0</v>
      </c>
      <c r="O922">
        <v>2</v>
      </c>
      <c r="P922">
        <v>70</v>
      </c>
      <c r="Q922">
        <v>72</v>
      </c>
    </row>
    <row r="923" spans="1:17" x14ac:dyDescent="0.3">
      <c r="A923">
        <v>922</v>
      </c>
      <c r="B923" s="4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>
        <v>0.12</v>
      </c>
      <c r="L923">
        <v>0.19700000000000001</v>
      </c>
      <c r="M923">
        <v>0.39</v>
      </c>
      <c r="N923">
        <v>0</v>
      </c>
      <c r="O923">
        <v>4</v>
      </c>
      <c r="P923">
        <v>47</v>
      </c>
      <c r="Q923">
        <v>51</v>
      </c>
    </row>
    <row r="924" spans="1:17" x14ac:dyDescent="0.3">
      <c r="A924">
        <v>923</v>
      </c>
      <c r="B924" s="4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>
        <v>0.12</v>
      </c>
      <c r="L924">
        <v>0.1515</v>
      </c>
      <c r="M924">
        <v>0.42</v>
      </c>
      <c r="N924">
        <v>0.1045</v>
      </c>
      <c r="O924">
        <v>1</v>
      </c>
      <c r="P924">
        <v>33</v>
      </c>
      <c r="Q924">
        <v>34</v>
      </c>
    </row>
    <row r="925" spans="1:17" x14ac:dyDescent="0.3">
      <c r="A925">
        <v>924</v>
      </c>
      <c r="B925" s="4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>
        <v>0.1</v>
      </c>
      <c r="L925">
        <v>0.13639999999999999</v>
      </c>
      <c r="M925">
        <v>0.49</v>
      </c>
      <c r="N925">
        <v>0.1045</v>
      </c>
      <c r="O925">
        <v>2</v>
      </c>
      <c r="P925">
        <v>12</v>
      </c>
      <c r="Q925">
        <v>14</v>
      </c>
    </row>
    <row r="926" spans="1:17" x14ac:dyDescent="0.3">
      <c r="A926">
        <v>925</v>
      </c>
      <c r="B926" s="4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>
        <v>0.1</v>
      </c>
      <c r="L926">
        <v>0.13639999999999999</v>
      </c>
      <c r="M926">
        <v>0.54</v>
      </c>
      <c r="N926">
        <v>8.9599999999999999E-2</v>
      </c>
      <c r="O926">
        <v>1</v>
      </c>
      <c r="P926">
        <v>6</v>
      </c>
      <c r="Q926">
        <v>7</v>
      </c>
    </row>
    <row r="927" spans="1:17" x14ac:dyDescent="0.3">
      <c r="A927">
        <v>926</v>
      </c>
      <c r="B927" s="4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>
        <v>0.1</v>
      </c>
      <c r="L927">
        <v>0.13639999999999999</v>
      </c>
      <c r="M927">
        <v>0.54</v>
      </c>
      <c r="N927">
        <v>8.9599999999999999E-2</v>
      </c>
      <c r="O927">
        <v>0</v>
      </c>
      <c r="P927">
        <v>3</v>
      </c>
      <c r="Q927">
        <v>3</v>
      </c>
    </row>
    <row r="928" spans="1:17" x14ac:dyDescent="0.3">
      <c r="A928">
        <v>927</v>
      </c>
      <c r="B928" s="4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>
        <v>0.08</v>
      </c>
      <c r="L928">
        <v>0.1212</v>
      </c>
      <c r="M928">
        <v>0.63</v>
      </c>
      <c r="N928">
        <v>8.9599999999999999E-2</v>
      </c>
      <c r="O928">
        <v>0</v>
      </c>
      <c r="P928">
        <v>4</v>
      </c>
      <c r="Q928">
        <v>4</v>
      </c>
    </row>
    <row r="929" spans="1:17" x14ac:dyDescent="0.3">
      <c r="A929">
        <v>928</v>
      </c>
      <c r="B929" s="4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>
        <v>0.1</v>
      </c>
      <c r="L929">
        <v>0.18179999999999999</v>
      </c>
      <c r="M929">
        <v>0.68</v>
      </c>
      <c r="N929">
        <v>0</v>
      </c>
      <c r="O929">
        <v>1</v>
      </c>
      <c r="P929">
        <v>23</v>
      </c>
      <c r="Q929">
        <v>24</v>
      </c>
    </row>
    <row r="930" spans="1:17" x14ac:dyDescent="0.3">
      <c r="A930">
        <v>929</v>
      </c>
      <c r="B930" s="4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>
        <v>0.08</v>
      </c>
      <c r="L930">
        <v>0.16669999999999999</v>
      </c>
      <c r="M930">
        <v>0.73</v>
      </c>
      <c r="N930">
        <v>0</v>
      </c>
      <c r="O930">
        <v>1</v>
      </c>
      <c r="P930">
        <v>73</v>
      </c>
      <c r="Q930">
        <v>74</v>
      </c>
    </row>
    <row r="931" spans="1:17" x14ac:dyDescent="0.3">
      <c r="A931">
        <v>930</v>
      </c>
      <c r="B931" s="4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>
        <v>0.1</v>
      </c>
      <c r="L931">
        <v>0.1212</v>
      </c>
      <c r="M931">
        <v>0.74</v>
      </c>
      <c r="N931">
        <v>0.16420000000000001</v>
      </c>
      <c r="O931">
        <v>4</v>
      </c>
      <c r="P931">
        <v>212</v>
      </c>
      <c r="Q931">
        <v>216</v>
      </c>
    </row>
    <row r="932" spans="1:17" x14ac:dyDescent="0.3">
      <c r="A932">
        <v>931</v>
      </c>
      <c r="B932" s="4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>
        <v>0.12</v>
      </c>
      <c r="L932">
        <v>0.1212</v>
      </c>
      <c r="M932">
        <v>0.74</v>
      </c>
      <c r="N932">
        <v>0.22389999999999999</v>
      </c>
      <c r="O932">
        <v>8</v>
      </c>
      <c r="P932">
        <v>132</v>
      </c>
      <c r="Q932">
        <v>140</v>
      </c>
    </row>
    <row r="933" spans="1:17" x14ac:dyDescent="0.3">
      <c r="A933">
        <v>932</v>
      </c>
      <c r="B933" s="4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>
        <v>0.14000000000000001</v>
      </c>
      <c r="L933">
        <v>0.13639999999999999</v>
      </c>
      <c r="M933">
        <v>0.69</v>
      </c>
      <c r="N933">
        <v>0.19400000000000001</v>
      </c>
      <c r="O933">
        <v>5</v>
      </c>
      <c r="P933">
        <v>39</v>
      </c>
      <c r="Q933">
        <v>44</v>
      </c>
    </row>
    <row r="934" spans="1:17" x14ac:dyDescent="0.3">
      <c r="A934">
        <v>933</v>
      </c>
      <c r="B934" s="4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>
        <v>0.22</v>
      </c>
      <c r="L934">
        <v>0.2273</v>
      </c>
      <c r="M934">
        <v>0.47</v>
      </c>
      <c r="N934">
        <v>0.1343</v>
      </c>
      <c r="O934">
        <v>12</v>
      </c>
      <c r="P934">
        <v>52</v>
      </c>
      <c r="Q934">
        <v>64</v>
      </c>
    </row>
    <row r="935" spans="1:17" x14ac:dyDescent="0.3">
      <c r="A935">
        <v>934</v>
      </c>
      <c r="B935" s="4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>
        <v>0.22</v>
      </c>
      <c r="L935">
        <v>0.2273</v>
      </c>
      <c r="M935">
        <v>0.47</v>
      </c>
      <c r="N935">
        <v>0.1343</v>
      </c>
      <c r="O935">
        <v>7</v>
      </c>
      <c r="P935">
        <v>64</v>
      </c>
      <c r="Q935">
        <v>71</v>
      </c>
    </row>
    <row r="936" spans="1:17" x14ac:dyDescent="0.3">
      <c r="A936">
        <v>935</v>
      </c>
      <c r="B936" s="4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>
        <v>0.24</v>
      </c>
      <c r="L936">
        <v>0.2273</v>
      </c>
      <c r="M936">
        <v>0.35</v>
      </c>
      <c r="N936">
        <v>0.19400000000000001</v>
      </c>
      <c r="O936">
        <v>21</v>
      </c>
      <c r="P936">
        <v>89</v>
      </c>
      <c r="Q936">
        <v>110</v>
      </c>
    </row>
    <row r="937" spans="1:17" x14ac:dyDescent="0.3">
      <c r="A937">
        <v>936</v>
      </c>
      <c r="B937" s="4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>
        <v>0.3</v>
      </c>
      <c r="L937">
        <v>0.28789999999999999</v>
      </c>
      <c r="M937">
        <v>0.26</v>
      </c>
      <c r="N937">
        <v>0.25369999999999998</v>
      </c>
      <c r="O937">
        <v>17</v>
      </c>
      <c r="P937">
        <v>67</v>
      </c>
      <c r="Q937">
        <v>84</v>
      </c>
    </row>
    <row r="938" spans="1:17" x14ac:dyDescent="0.3">
      <c r="A938">
        <v>937</v>
      </c>
      <c r="B938" s="4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>
        <v>0.32</v>
      </c>
      <c r="L938">
        <v>0.31819999999999998</v>
      </c>
      <c r="M938">
        <v>0.21</v>
      </c>
      <c r="N938">
        <v>0.16420000000000001</v>
      </c>
      <c r="O938">
        <v>12</v>
      </c>
      <c r="P938">
        <v>62</v>
      </c>
      <c r="Q938">
        <v>74</v>
      </c>
    </row>
    <row r="939" spans="1:17" x14ac:dyDescent="0.3">
      <c r="A939">
        <v>938</v>
      </c>
      <c r="B939" s="4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>
        <v>0.3</v>
      </c>
      <c r="L939">
        <v>0.28789999999999999</v>
      </c>
      <c r="M939">
        <v>0.28000000000000003</v>
      </c>
      <c r="N939">
        <v>0.19400000000000001</v>
      </c>
      <c r="O939">
        <v>14</v>
      </c>
      <c r="P939">
        <v>111</v>
      </c>
      <c r="Q939">
        <v>125</v>
      </c>
    </row>
    <row r="940" spans="1:17" x14ac:dyDescent="0.3">
      <c r="A940">
        <v>939</v>
      </c>
      <c r="B940" s="4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>
        <v>0.3</v>
      </c>
      <c r="L940">
        <v>0.33329999999999999</v>
      </c>
      <c r="M940">
        <v>0.24</v>
      </c>
      <c r="N940">
        <v>0</v>
      </c>
      <c r="O940">
        <v>18</v>
      </c>
      <c r="P940">
        <v>193</v>
      </c>
      <c r="Q940">
        <v>211</v>
      </c>
    </row>
    <row r="941" spans="1:17" x14ac:dyDescent="0.3">
      <c r="A941">
        <v>940</v>
      </c>
      <c r="B941" s="4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>
        <v>0.28000000000000003</v>
      </c>
      <c r="L941">
        <v>0.31819999999999998</v>
      </c>
      <c r="M941">
        <v>0.28000000000000003</v>
      </c>
      <c r="N941">
        <v>0</v>
      </c>
      <c r="O941">
        <v>9</v>
      </c>
      <c r="P941">
        <v>165</v>
      </c>
      <c r="Q941">
        <v>174</v>
      </c>
    </row>
    <row r="942" spans="1:17" x14ac:dyDescent="0.3">
      <c r="A942">
        <v>941</v>
      </c>
      <c r="B942" s="4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>
        <v>0.26</v>
      </c>
      <c r="L942">
        <v>0.30299999999999999</v>
      </c>
      <c r="M942">
        <v>0.33</v>
      </c>
      <c r="N942">
        <v>0</v>
      </c>
      <c r="O942">
        <v>7</v>
      </c>
      <c r="P942">
        <v>94</v>
      </c>
      <c r="Q942">
        <v>101</v>
      </c>
    </row>
    <row r="943" spans="1:17" x14ac:dyDescent="0.3">
      <c r="A943">
        <v>942</v>
      </c>
      <c r="B943" s="4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>
        <v>0.22</v>
      </c>
      <c r="L943">
        <v>0.2273</v>
      </c>
      <c r="M943">
        <v>0.55000000000000004</v>
      </c>
      <c r="N943">
        <v>0.1343</v>
      </c>
      <c r="O943">
        <v>2</v>
      </c>
      <c r="P943">
        <v>61</v>
      </c>
      <c r="Q943">
        <v>63</v>
      </c>
    </row>
    <row r="944" spans="1:17" x14ac:dyDescent="0.3">
      <c r="A944">
        <v>943</v>
      </c>
      <c r="B944" s="4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>
        <v>0.2</v>
      </c>
      <c r="L944">
        <v>0.21210000000000001</v>
      </c>
      <c r="M944">
        <v>0.59</v>
      </c>
      <c r="N944">
        <v>0.1343</v>
      </c>
      <c r="O944">
        <v>1</v>
      </c>
      <c r="P944">
        <v>46</v>
      </c>
      <c r="Q944">
        <v>47</v>
      </c>
    </row>
    <row r="945" spans="1:17" x14ac:dyDescent="0.3">
      <c r="A945">
        <v>944</v>
      </c>
      <c r="B945" s="4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>
        <v>0.2</v>
      </c>
      <c r="L945">
        <v>0.2273</v>
      </c>
      <c r="M945">
        <v>0.64</v>
      </c>
      <c r="N945">
        <v>8.9599999999999999E-2</v>
      </c>
      <c r="O945">
        <v>2</v>
      </c>
      <c r="P945">
        <v>41</v>
      </c>
      <c r="Q945">
        <v>43</v>
      </c>
    </row>
    <row r="946" spans="1:17" x14ac:dyDescent="0.3">
      <c r="A946">
        <v>945</v>
      </c>
      <c r="B946" s="4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>
        <v>0.18</v>
      </c>
      <c r="L946">
        <v>0.2424</v>
      </c>
      <c r="M946">
        <v>0.69</v>
      </c>
      <c r="N946">
        <v>0</v>
      </c>
      <c r="O946">
        <v>5</v>
      </c>
      <c r="P946">
        <v>48</v>
      </c>
      <c r="Q946">
        <v>53</v>
      </c>
    </row>
    <row r="947" spans="1:17" x14ac:dyDescent="0.3">
      <c r="A947">
        <v>946</v>
      </c>
      <c r="B947" s="4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0.16</v>
      </c>
      <c r="L947">
        <v>0.19700000000000001</v>
      </c>
      <c r="M947">
        <v>0.69</v>
      </c>
      <c r="N947">
        <v>8.9599999999999999E-2</v>
      </c>
      <c r="O947">
        <v>3</v>
      </c>
      <c r="P947">
        <v>27</v>
      </c>
      <c r="Q947">
        <v>30</v>
      </c>
    </row>
    <row r="948" spans="1:17" x14ac:dyDescent="0.3">
      <c r="A948">
        <v>947</v>
      </c>
      <c r="B948" s="4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>
        <v>0.14000000000000001</v>
      </c>
      <c r="L948">
        <v>0.21210000000000001</v>
      </c>
      <c r="M948">
        <v>0.86</v>
      </c>
      <c r="N948">
        <v>0</v>
      </c>
      <c r="O948">
        <v>2</v>
      </c>
      <c r="P948">
        <v>22</v>
      </c>
      <c r="Q948">
        <v>24</v>
      </c>
    </row>
    <row r="949" spans="1:17" x14ac:dyDescent="0.3">
      <c r="A949">
        <v>948</v>
      </c>
      <c r="B949" s="4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>
        <v>0.14000000000000001</v>
      </c>
      <c r="L949">
        <v>0.21210000000000001</v>
      </c>
      <c r="M949">
        <v>0.8</v>
      </c>
      <c r="N949">
        <v>0</v>
      </c>
      <c r="O949">
        <v>2</v>
      </c>
      <c r="P949">
        <v>13</v>
      </c>
      <c r="Q949">
        <v>15</v>
      </c>
    </row>
    <row r="950" spans="1:17" x14ac:dyDescent="0.3">
      <c r="A950">
        <v>949</v>
      </c>
      <c r="B950" s="4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>
        <v>0.12</v>
      </c>
      <c r="L950">
        <v>0.19700000000000001</v>
      </c>
      <c r="M950">
        <v>0.8</v>
      </c>
      <c r="N950">
        <v>0</v>
      </c>
      <c r="O950">
        <v>3</v>
      </c>
      <c r="P950">
        <v>7</v>
      </c>
      <c r="Q950">
        <v>10</v>
      </c>
    </row>
    <row r="951" spans="1:17" x14ac:dyDescent="0.3">
      <c r="A951">
        <v>950</v>
      </c>
      <c r="B951" s="4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>
        <v>0.12</v>
      </c>
      <c r="L951">
        <v>0.16669999999999999</v>
      </c>
      <c r="M951">
        <v>0.74</v>
      </c>
      <c r="N951">
        <v>8.9599999999999999E-2</v>
      </c>
      <c r="O951">
        <v>0</v>
      </c>
      <c r="P951">
        <v>4</v>
      </c>
      <c r="Q951">
        <v>4</v>
      </c>
    </row>
    <row r="952" spans="1:17" x14ac:dyDescent="0.3">
      <c r="A952">
        <v>951</v>
      </c>
      <c r="B952" s="4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>
        <v>0.12</v>
      </c>
      <c r="L952">
        <v>0.16669999999999999</v>
      </c>
      <c r="M952">
        <v>0.74</v>
      </c>
      <c r="N952">
        <v>8.9599999999999999E-2</v>
      </c>
      <c r="O952">
        <v>0</v>
      </c>
      <c r="P952">
        <v>1</v>
      </c>
      <c r="Q952">
        <v>1</v>
      </c>
    </row>
    <row r="953" spans="1:17" x14ac:dyDescent="0.3">
      <c r="A953">
        <v>952</v>
      </c>
      <c r="B953" s="4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>
        <v>0.12</v>
      </c>
      <c r="L953">
        <v>0.13639999999999999</v>
      </c>
      <c r="M953">
        <v>0.93</v>
      </c>
      <c r="N953">
        <v>0.19400000000000001</v>
      </c>
      <c r="O953">
        <v>1</v>
      </c>
      <c r="P953">
        <v>1</v>
      </c>
      <c r="Q953">
        <v>2</v>
      </c>
    </row>
    <row r="954" spans="1:17" x14ac:dyDescent="0.3">
      <c r="A954">
        <v>953</v>
      </c>
      <c r="B954" s="4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>
        <v>0.12</v>
      </c>
      <c r="L954">
        <v>0.1515</v>
      </c>
      <c r="M954">
        <v>0.8</v>
      </c>
      <c r="N954">
        <v>0.1045</v>
      </c>
      <c r="O954">
        <v>2</v>
      </c>
      <c r="P954">
        <v>9</v>
      </c>
      <c r="Q954">
        <v>11</v>
      </c>
    </row>
    <row r="955" spans="1:17" x14ac:dyDescent="0.3">
      <c r="A955">
        <v>954</v>
      </c>
      <c r="B955" s="4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>
        <v>0.14000000000000001</v>
      </c>
      <c r="L955">
        <v>0.1515</v>
      </c>
      <c r="M955">
        <v>0.86</v>
      </c>
      <c r="N955">
        <v>0.1343</v>
      </c>
      <c r="O955">
        <v>2</v>
      </c>
      <c r="P955">
        <v>28</v>
      </c>
      <c r="Q955">
        <v>30</v>
      </c>
    </row>
    <row r="956" spans="1:17" x14ac:dyDescent="0.3">
      <c r="A956">
        <v>955</v>
      </c>
      <c r="B956" s="4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>
        <v>0.16</v>
      </c>
      <c r="L956">
        <v>0.18179999999999999</v>
      </c>
      <c r="M956">
        <v>0.64</v>
      </c>
      <c r="N956">
        <v>0.1343</v>
      </c>
      <c r="O956">
        <v>5</v>
      </c>
      <c r="P956">
        <v>38</v>
      </c>
      <c r="Q956">
        <v>43</v>
      </c>
    </row>
    <row r="957" spans="1:17" x14ac:dyDescent="0.3">
      <c r="A957">
        <v>956</v>
      </c>
      <c r="B957" s="4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>
        <v>0.22</v>
      </c>
      <c r="L957">
        <v>0.21210000000000001</v>
      </c>
      <c r="M957">
        <v>0.41</v>
      </c>
      <c r="N957">
        <v>0.25369999999999998</v>
      </c>
      <c r="O957">
        <v>13</v>
      </c>
      <c r="P957">
        <v>71</v>
      </c>
      <c r="Q957">
        <v>84</v>
      </c>
    </row>
    <row r="958" spans="1:17" x14ac:dyDescent="0.3">
      <c r="A958">
        <v>957</v>
      </c>
      <c r="B958" s="4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>
        <v>0.3</v>
      </c>
      <c r="L958">
        <v>0.2727</v>
      </c>
      <c r="M958">
        <v>0.28000000000000003</v>
      </c>
      <c r="N958">
        <v>0.32840000000000003</v>
      </c>
      <c r="O958">
        <v>30</v>
      </c>
      <c r="P958">
        <v>84</v>
      </c>
      <c r="Q958">
        <v>114</v>
      </c>
    </row>
    <row r="959" spans="1:17" x14ac:dyDescent="0.3">
      <c r="A959">
        <v>958</v>
      </c>
      <c r="B959" s="4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>
        <v>0.3</v>
      </c>
      <c r="L959">
        <v>0.2727</v>
      </c>
      <c r="M959">
        <v>0.39</v>
      </c>
      <c r="N959">
        <v>0.4627</v>
      </c>
      <c r="O959">
        <v>27</v>
      </c>
      <c r="P959">
        <v>93</v>
      </c>
      <c r="Q959">
        <v>120</v>
      </c>
    </row>
    <row r="960" spans="1:17" x14ac:dyDescent="0.3">
      <c r="A960">
        <v>959</v>
      </c>
      <c r="B960" s="4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>
        <v>0.3</v>
      </c>
      <c r="L960">
        <v>0.2727</v>
      </c>
      <c r="M960">
        <v>0.39</v>
      </c>
      <c r="N960">
        <v>0.41789999999999999</v>
      </c>
      <c r="O960">
        <v>32</v>
      </c>
      <c r="P960">
        <v>103</v>
      </c>
      <c r="Q960">
        <v>135</v>
      </c>
    </row>
    <row r="961" spans="1:17" x14ac:dyDescent="0.3">
      <c r="A961">
        <v>960</v>
      </c>
      <c r="B961" s="4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>
        <v>0.34</v>
      </c>
      <c r="L961">
        <v>0.31819999999999998</v>
      </c>
      <c r="M961">
        <v>0.31</v>
      </c>
      <c r="N961">
        <v>0.28360000000000002</v>
      </c>
      <c r="O961">
        <v>30</v>
      </c>
      <c r="P961">
        <v>90</v>
      </c>
      <c r="Q961">
        <v>120</v>
      </c>
    </row>
    <row r="962" spans="1:17" x14ac:dyDescent="0.3">
      <c r="A962">
        <v>961</v>
      </c>
      <c r="B962" s="4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>
        <v>0.34</v>
      </c>
      <c r="L962">
        <v>0.30299999999999999</v>
      </c>
      <c r="M962">
        <v>0.28999999999999998</v>
      </c>
      <c r="N962">
        <v>0.41789999999999999</v>
      </c>
      <c r="O962">
        <v>47</v>
      </c>
      <c r="P962">
        <v>127</v>
      </c>
      <c r="Q962">
        <v>174</v>
      </c>
    </row>
    <row r="963" spans="1:17" x14ac:dyDescent="0.3">
      <c r="A963">
        <v>962</v>
      </c>
      <c r="B963" s="4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>
        <v>0.34</v>
      </c>
      <c r="L963">
        <v>0.30299999999999999</v>
      </c>
      <c r="M963">
        <v>0.28999999999999998</v>
      </c>
      <c r="N963">
        <v>0.41789999999999999</v>
      </c>
      <c r="O963">
        <v>42</v>
      </c>
      <c r="P963">
        <v>103</v>
      </c>
      <c r="Q963">
        <v>145</v>
      </c>
    </row>
    <row r="964" spans="1:17" x14ac:dyDescent="0.3">
      <c r="A964">
        <v>963</v>
      </c>
      <c r="B964" s="4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>
        <v>0.32</v>
      </c>
      <c r="L964">
        <v>0.28789999999999999</v>
      </c>
      <c r="M964">
        <v>0.31</v>
      </c>
      <c r="N964">
        <v>0.52239999999999998</v>
      </c>
      <c r="O964">
        <v>24</v>
      </c>
      <c r="P964">
        <v>113</v>
      </c>
      <c r="Q964">
        <v>137</v>
      </c>
    </row>
    <row r="965" spans="1:17" x14ac:dyDescent="0.3">
      <c r="A965">
        <v>964</v>
      </c>
      <c r="B965" s="4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>
        <v>0.28000000000000003</v>
      </c>
      <c r="L965">
        <v>0.2576</v>
      </c>
      <c r="M965">
        <v>0.38</v>
      </c>
      <c r="N965">
        <v>0.32840000000000003</v>
      </c>
      <c r="O965">
        <v>4</v>
      </c>
      <c r="P965">
        <v>60</v>
      </c>
      <c r="Q965">
        <v>64</v>
      </c>
    </row>
    <row r="966" spans="1:17" x14ac:dyDescent="0.3">
      <c r="A966">
        <v>965</v>
      </c>
      <c r="B966" s="4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>
        <v>0.28000000000000003</v>
      </c>
      <c r="L966">
        <v>0.2727</v>
      </c>
      <c r="M966">
        <v>0.38</v>
      </c>
      <c r="N966">
        <v>0.16420000000000001</v>
      </c>
      <c r="O966">
        <v>2</v>
      </c>
      <c r="P966">
        <v>39</v>
      </c>
      <c r="Q966">
        <v>41</v>
      </c>
    </row>
    <row r="967" spans="1:17" x14ac:dyDescent="0.3">
      <c r="A967">
        <v>966</v>
      </c>
      <c r="B967" s="4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>
        <v>0.26</v>
      </c>
      <c r="L967">
        <v>0.2576</v>
      </c>
      <c r="M967">
        <v>0.41</v>
      </c>
      <c r="N967">
        <v>0.22389999999999999</v>
      </c>
      <c r="O967">
        <v>1</v>
      </c>
      <c r="P967">
        <v>39</v>
      </c>
      <c r="Q967">
        <v>40</v>
      </c>
    </row>
    <row r="968" spans="1:17" x14ac:dyDescent="0.3">
      <c r="A968">
        <v>967</v>
      </c>
      <c r="B968" s="4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>
        <v>0.26</v>
      </c>
      <c r="L968">
        <v>0.30299999999999999</v>
      </c>
      <c r="M968">
        <v>0.41</v>
      </c>
      <c r="N968">
        <v>0</v>
      </c>
      <c r="O968">
        <v>9</v>
      </c>
      <c r="P968">
        <v>42</v>
      </c>
      <c r="Q968">
        <v>51</v>
      </c>
    </row>
    <row r="969" spans="1:17" x14ac:dyDescent="0.3">
      <c r="A969">
        <v>968</v>
      </c>
      <c r="B969" s="4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>
        <v>0.24</v>
      </c>
      <c r="L969">
        <v>0.2576</v>
      </c>
      <c r="M969">
        <v>0.44</v>
      </c>
      <c r="N969">
        <v>8.9599999999999999E-2</v>
      </c>
      <c r="O969">
        <v>6</v>
      </c>
      <c r="P969">
        <v>39</v>
      </c>
      <c r="Q969">
        <v>45</v>
      </c>
    </row>
    <row r="970" spans="1:17" x14ac:dyDescent="0.3">
      <c r="A970">
        <v>969</v>
      </c>
      <c r="B970" s="4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>
        <v>0.22</v>
      </c>
      <c r="L970">
        <v>0.2273</v>
      </c>
      <c r="M970">
        <v>0.51</v>
      </c>
      <c r="N970">
        <v>0.1343</v>
      </c>
      <c r="O970">
        <v>1</v>
      </c>
      <c r="P970">
        <v>31</v>
      </c>
      <c r="Q970">
        <v>32</v>
      </c>
    </row>
    <row r="971" spans="1:17" x14ac:dyDescent="0.3">
      <c r="A971">
        <v>970</v>
      </c>
      <c r="B971" s="4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0.2</v>
      </c>
      <c r="L971">
        <v>0.2273</v>
      </c>
      <c r="M971">
        <v>0.64</v>
      </c>
      <c r="N971">
        <v>0.1045</v>
      </c>
      <c r="O971">
        <v>5</v>
      </c>
      <c r="P971">
        <v>34</v>
      </c>
      <c r="Q971">
        <v>39</v>
      </c>
    </row>
    <row r="972" spans="1:17" x14ac:dyDescent="0.3">
      <c r="A972">
        <v>971</v>
      </c>
      <c r="B972" s="4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0.2</v>
      </c>
      <c r="L972">
        <v>0.2273</v>
      </c>
      <c r="M972">
        <v>0.59</v>
      </c>
      <c r="N972">
        <v>8.9599999999999999E-2</v>
      </c>
      <c r="O972">
        <v>1</v>
      </c>
      <c r="P972">
        <v>23</v>
      </c>
      <c r="Q972">
        <v>24</v>
      </c>
    </row>
    <row r="973" spans="1:17" x14ac:dyDescent="0.3">
      <c r="A973">
        <v>972</v>
      </c>
      <c r="B973" s="4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>
        <v>0.2</v>
      </c>
      <c r="L973">
        <v>0.2273</v>
      </c>
      <c r="M973">
        <v>0.75</v>
      </c>
      <c r="N973">
        <v>8.9599999999999999E-2</v>
      </c>
      <c r="O973">
        <v>1</v>
      </c>
      <c r="P973">
        <v>19</v>
      </c>
      <c r="Q973">
        <v>20</v>
      </c>
    </row>
    <row r="974" spans="1:17" x14ac:dyDescent="0.3">
      <c r="A974">
        <v>973</v>
      </c>
      <c r="B974" s="4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>
        <v>0.2</v>
      </c>
      <c r="L974">
        <v>0.2273</v>
      </c>
      <c r="M974">
        <v>0.69</v>
      </c>
      <c r="N974">
        <v>0.1045</v>
      </c>
      <c r="O974">
        <v>4</v>
      </c>
      <c r="P974">
        <v>8</v>
      </c>
      <c r="Q974">
        <v>12</v>
      </c>
    </row>
    <row r="975" spans="1:17" x14ac:dyDescent="0.3">
      <c r="A975">
        <v>974</v>
      </c>
      <c r="B975" s="4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>
        <v>0.2</v>
      </c>
      <c r="L975">
        <v>0.21210000000000001</v>
      </c>
      <c r="M975">
        <v>0.69</v>
      </c>
      <c r="N975">
        <v>0.16420000000000001</v>
      </c>
      <c r="O975">
        <v>0</v>
      </c>
      <c r="P975">
        <v>2</v>
      </c>
      <c r="Q975">
        <v>2</v>
      </c>
    </row>
    <row r="976" spans="1:17" x14ac:dyDescent="0.3">
      <c r="A976">
        <v>975</v>
      </c>
      <c r="B976" s="4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>
        <v>0.2</v>
      </c>
      <c r="L976">
        <v>0.21210000000000001</v>
      </c>
      <c r="M976">
        <v>0.69</v>
      </c>
      <c r="N976">
        <v>0.1343</v>
      </c>
      <c r="O976">
        <v>2</v>
      </c>
      <c r="P976">
        <v>3</v>
      </c>
      <c r="Q976">
        <v>5</v>
      </c>
    </row>
    <row r="977" spans="1:17" x14ac:dyDescent="0.3">
      <c r="A977">
        <v>976</v>
      </c>
      <c r="B977" s="4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>
        <v>0.22</v>
      </c>
      <c r="L977">
        <v>0.2727</v>
      </c>
      <c r="M977">
        <v>0.55000000000000004</v>
      </c>
      <c r="N977">
        <v>0</v>
      </c>
      <c r="O977">
        <v>0</v>
      </c>
      <c r="P977">
        <v>3</v>
      </c>
      <c r="Q977">
        <v>3</v>
      </c>
    </row>
    <row r="978" spans="1:17" x14ac:dyDescent="0.3">
      <c r="A978">
        <v>977</v>
      </c>
      <c r="B978" s="4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>
        <v>0.22</v>
      </c>
      <c r="L978">
        <v>0.2273</v>
      </c>
      <c r="M978">
        <v>0.64</v>
      </c>
      <c r="N978">
        <v>0.19400000000000001</v>
      </c>
      <c r="O978">
        <v>1</v>
      </c>
      <c r="P978">
        <v>11</v>
      </c>
      <c r="Q978">
        <v>12</v>
      </c>
    </row>
    <row r="979" spans="1:17" x14ac:dyDescent="0.3">
      <c r="A979">
        <v>978</v>
      </c>
      <c r="B979" s="4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0.24</v>
      </c>
      <c r="L979">
        <v>0.2273</v>
      </c>
      <c r="M979">
        <v>0.6</v>
      </c>
      <c r="N979">
        <v>0.22389999999999999</v>
      </c>
      <c r="O979">
        <v>12</v>
      </c>
      <c r="P979">
        <v>35</v>
      </c>
      <c r="Q979">
        <v>47</v>
      </c>
    </row>
    <row r="980" spans="1:17" x14ac:dyDescent="0.3">
      <c r="A980">
        <v>979</v>
      </c>
      <c r="B980" s="4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>
        <v>0.3</v>
      </c>
      <c r="L980">
        <v>0.2727</v>
      </c>
      <c r="M980">
        <v>0.45</v>
      </c>
      <c r="N980">
        <v>0.32840000000000003</v>
      </c>
      <c r="O980">
        <v>19</v>
      </c>
      <c r="P980">
        <v>86</v>
      </c>
      <c r="Q980">
        <v>105</v>
      </c>
    </row>
    <row r="981" spans="1:17" x14ac:dyDescent="0.3">
      <c r="A981">
        <v>980</v>
      </c>
      <c r="B981" s="4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>
        <v>0.32</v>
      </c>
      <c r="L981">
        <v>0.28789999999999999</v>
      </c>
      <c r="M981">
        <v>0.39</v>
      </c>
      <c r="N981">
        <v>0.44779999999999998</v>
      </c>
      <c r="O981">
        <v>26</v>
      </c>
      <c r="P981">
        <v>86</v>
      </c>
      <c r="Q981">
        <v>112</v>
      </c>
    </row>
    <row r="982" spans="1:17" x14ac:dyDescent="0.3">
      <c r="A982">
        <v>981</v>
      </c>
      <c r="B982" s="4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>
        <v>0.36</v>
      </c>
      <c r="L982">
        <v>0.31819999999999998</v>
      </c>
      <c r="M982">
        <v>0.32</v>
      </c>
      <c r="N982">
        <v>0.4627</v>
      </c>
      <c r="O982">
        <v>58</v>
      </c>
      <c r="P982">
        <v>94</v>
      </c>
      <c r="Q982">
        <v>152</v>
      </c>
    </row>
    <row r="983" spans="1:17" x14ac:dyDescent="0.3">
      <c r="A983">
        <v>982</v>
      </c>
      <c r="B983" s="4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>
        <v>0.38</v>
      </c>
      <c r="L983">
        <v>0.39389999999999997</v>
      </c>
      <c r="M983">
        <v>0.28999999999999998</v>
      </c>
      <c r="N983">
        <v>0.35820000000000002</v>
      </c>
      <c r="O983">
        <v>62</v>
      </c>
      <c r="P983">
        <v>92</v>
      </c>
      <c r="Q983">
        <v>154</v>
      </c>
    </row>
    <row r="984" spans="1:17" x14ac:dyDescent="0.3">
      <c r="A984">
        <v>983</v>
      </c>
      <c r="B984" s="4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>
        <v>0.4</v>
      </c>
      <c r="L984">
        <v>0.40910000000000002</v>
      </c>
      <c r="M984">
        <v>0.3</v>
      </c>
      <c r="N984">
        <v>0.41789999999999999</v>
      </c>
      <c r="O984">
        <v>51</v>
      </c>
      <c r="P984">
        <v>110</v>
      </c>
      <c r="Q984">
        <v>161</v>
      </c>
    </row>
    <row r="985" spans="1:17" x14ac:dyDescent="0.3">
      <c r="A985">
        <v>984</v>
      </c>
      <c r="B985" s="4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>
        <v>0.4</v>
      </c>
      <c r="L985">
        <v>0.40910000000000002</v>
      </c>
      <c r="M985">
        <v>0.3</v>
      </c>
      <c r="N985">
        <v>0.29849999999999999</v>
      </c>
      <c r="O985">
        <v>40</v>
      </c>
      <c r="P985">
        <v>122</v>
      </c>
      <c r="Q985">
        <v>162</v>
      </c>
    </row>
    <row r="986" spans="1:17" x14ac:dyDescent="0.3">
      <c r="A986">
        <v>985</v>
      </c>
      <c r="B986" s="4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>
        <v>0.42</v>
      </c>
      <c r="L986">
        <v>0.42420000000000002</v>
      </c>
      <c r="M986">
        <v>0.28000000000000003</v>
      </c>
      <c r="N986">
        <v>0.32840000000000003</v>
      </c>
      <c r="O986">
        <v>28</v>
      </c>
      <c r="P986">
        <v>106</v>
      </c>
      <c r="Q986">
        <v>134</v>
      </c>
    </row>
    <row r="987" spans="1:17" x14ac:dyDescent="0.3">
      <c r="A987">
        <v>986</v>
      </c>
      <c r="B987" s="4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>
        <v>0.42</v>
      </c>
      <c r="L987">
        <v>0.42420000000000002</v>
      </c>
      <c r="M987">
        <v>0.28000000000000003</v>
      </c>
      <c r="N987">
        <v>0.32840000000000003</v>
      </c>
      <c r="O987">
        <v>30</v>
      </c>
      <c r="P987">
        <v>95</v>
      </c>
      <c r="Q987">
        <v>125</v>
      </c>
    </row>
    <row r="988" spans="1:17" x14ac:dyDescent="0.3">
      <c r="A988">
        <v>987</v>
      </c>
      <c r="B988" s="4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>
        <v>0.4</v>
      </c>
      <c r="L988">
        <v>0.40910000000000002</v>
      </c>
      <c r="M988">
        <v>0.32</v>
      </c>
      <c r="N988">
        <v>0.29849999999999999</v>
      </c>
      <c r="O988">
        <v>17</v>
      </c>
      <c r="P988">
        <v>78</v>
      </c>
      <c r="Q988">
        <v>95</v>
      </c>
    </row>
    <row r="989" spans="1:17" x14ac:dyDescent="0.3">
      <c r="A989">
        <v>988</v>
      </c>
      <c r="B989" s="4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>
        <v>0.4</v>
      </c>
      <c r="L989">
        <v>0.40910000000000002</v>
      </c>
      <c r="M989">
        <v>0.35</v>
      </c>
      <c r="N989">
        <v>0.28360000000000002</v>
      </c>
      <c r="O989">
        <v>11</v>
      </c>
      <c r="P989">
        <v>50</v>
      </c>
      <c r="Q989">
        <v>61</v>
      </c>
    </row>
    <row r="990" spans="1:17" x14ac:dyDescent="0.3">
      <c r="A990">
        <v>989</v>
      </c>
      <c r="B990" s="4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>
        <v>0.4</v>
      </c>
      <c r="L990">
        <v>0.40910000000000002</v>
      </c>
      <c r="M990">
        <v>0.35</v>
      </c>
      <c r="N990">
        <v>0.32840000000000003</v>
      </c>
      <c r="O990">
        <v>15</v>
      </c>
      <c r="P990">
        <v>32</v>
      </c>
      <c r="Q990">
        <v>47</v>
      </c>
    </row>
    <row r="991" spans="1:17" x14ac:dyDescent="0.3">
      <c r="A991">
        <v>990</v>
      </c>
      <c r="B991" s="4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>
        <v>0.4</v>
      </c>
      <c r="L991">
        <v>0.40910000000000002</v>
      </c>
      <c r="M991">
        <v>0.35</v>
      </c>
      <c r="N991">
        <v>0.35820000000000002</v>
      </c>
      <c r="O991">
        <v>6</v>
      </c>
      <c r="P991">
        <v>45</v>
      </c>
      <c r="Q991">
        <v>51</v>
      </c>
    </row>
    <row r="992" spans="1:17" x14ac:dyDescent="0.3">
      <c r="A992">
        <v>991</v>
      </c>
      <c r="B992" s="4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>
        <v>0.4</v>
      </c>
      <c r="L992">
        <v>0.40910000000000002</v>
      </c>
      <c r="M992">
        <v>0.35</v>
      </c>
      <c r="N992">
        <v>0.29849999999999999</v>
      </c>
      <c r="O992">
        <v>5</v>
      </c>
      <c r="P992">
        <v>31</v>
      </c>
      <c r="Q992">
        <v>36</v>
      </c>
    </row>
    <row r="993" spans="1:17" x14ac:dyDescent="0.3">
      <c r="A993">
        <v>992</v>
      </c>
      <c r="B993" s="4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>
        <v>0.4</v>
      </c>
      <c r="L993">
        <v>0.40910000000000002</v>
      </c>
      <c r="M993">
        <v>0.35</v>
      </c>
      <c r="N993">
        <v>0.35820000000000002</v>
      </c>
      <c r="O993">
        <v>3</v>
      </c>
      <c r="P993">
        <v>27</v>
      </c>
      <c r="Q993">
        <v>30</v>
      </c>
    </row>
    <row r="994" spans="1:17" x14ac:dyDescent="0.3">
      <c r="A994">
        <v>993</v>
      </c>
      <c r="B994" s="4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0.38</v>
      </c>
      <c r="L994">
        <v>0.39389999999999997</v>
      </c>
      <c r="M994">
        <v>0.37</v>
      </c>
      <c r="N994">
        <v>0.35820000000000002</v>
      </c>
      <c r="O994">
        <v>3</v>
      </c>
      <c r="P994">
        <v>8</v>
      </c>
      <c r="Q994">
        <v>11</v>
      </c>
    </row>
    <row r="995" spans="1:17" x14ac:dyDescent="0.3">
      <c r="A995">
        <v>994</v>
      </c>
      <c r="B995" s="4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0.38</v>
      </c>
      <c r="L995">
        <v>0.39389999999999997</v>
      </c>
      <c r="M995">
        <v>0.37</v>
      </c>
      <c r="N995">
        <v>0.35820000000000002</v>
      </c>
      <c r="O995">
        <v>1</v>
      </c>
      <c r="P995">
        <v>6</v>
      </c>
      <c r="Q995">
        <v>7</v>
      </c>
    </row>
    <row r="996" spans="1:17" x14ac:dyDescent="0.3">
      <c r="A996">
        <v>995</v>
      </c>
      <c r="B996" s="4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0.36</v>
      </c>
      <c r="L996">
        <v>0.33329999999999999</v>
      </c>
      <c r="M996">
        <v>0.4</v>
      </c>
      <c r="N996">
        <v>0.29849999999999999</v>
      </c>
      <c r="O996">
        <v>0</v>
      </c>
      <c r="P996">
        <v>2</v>
      </c>
      <c r="Q996">
        <v>2</v>
      </c>
    </row>
    <row r="997" spans="1:17" x14ac:dyDescent="0.3">
      <c r="A997">
        <v>996</v>
      </c>
      <c r="B997" s="4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>
        <v>0.34</v>
      </c>
      <c r="L997">
        <v>0.31819999999999998</v>
      </c>
      <c r="M997">
        <v>0.46</v>
      </c>
      <c r="N997">
        <v>0.22389999999999999</v>
      </c>
      <c r="O997">
        <v>1</v>
      </c>
      <c r="P997">
        <v>1</v>
      </c>
      <c r="Q997">
        <v>2</v>
      </c>
    </row>
    <row r="998" spans="1:17" x14ac:dyDescent="0.3">
      <c r="A998">
        <v>997</v>
      </c>
      <c r="B998" s="4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0.32</v>
      </c>
      <c r="L998">
        <v>0.30299999999999999</v>
      </c>
      <c r="M998">
        <v>0.53</v>
      </c>
      <c r="N998">
        <v>0.28360000000000002</v>
      </c>
      <c r="O998">
        <v>0</v>
      </c>
      <c r="P998">
        <v>2</v>
      </c>
      <c r="Q998">
        <v>2</v>
      </c>
    </row>
    <row r="999" spans="1:17" x14ac:dyDescent="0.3">
      <c r="A999">
        <v>998</v>
      </c>
      <c r="B999" s="4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>
        <v>0.32</v>
      </c>
      <c r="L999">
        <v>0.30299999999999999</v>
      </c>
      <c r="M999">
        <v>0.53</v>
      </c>
      <c r="N999">
        <v>0.28360000000000002</v>
      </c>
      <c r="O999">
        <v>0</v>
      </c>
      <c r="P999">
        <v>3</v>
      </c>
      <c r="Q999">
        <v>3</v>
      </c>
    </row>
    <row r="1000" spans="1:17" x14ac:dyDescent="0.3">
      <c r="A1000">
        <v>999</v>
      </c>
      <c r="B1000" s="4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>
        <v>0.34</v>
      </c>
      <c r="L1000">
        <v>0.30299999999999999</v>
      </c>
      <c r="M1000">
        <v>0.46</v>
      </c>
      <c r="N1000">
        <v>0.29849999999999999</v>
      </c>
      <c r="O1000">
        <v>1</v>
      </c>
      <c r="P1000">
        <v>25</v>
      </c>
      <c r="Q1000">
        <v>26</v>
      </c>
    </row>
    <row r="1001" spans="1:17" x14ac:dyDescent="0.3">
      <c r="A1001">
        <v>1000</v>
      </c>
      <c r="B1001" s="4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>
        <v>0.34</v>
      </c>
      <c r="L1001">
        <v>0.30299999999999999</v>
      </c>
      <c r="M1001">
        <v>0.46</v>
      </c>
      <c r="N1001">
        <v>0.29849999999999999</v>
      </c>
      <c r="O1001">
        <v>2</v>
      </c>
      <c r="P1001">
        <v>96</v>
      </c>
      <c r="Q1001">
        <v>98</v>
      </c>
    </row>
    <row r="1048576" spans="3:3" x14ac:dyDescent="0.3">
      <c r="C1048576">
        <f>SUM(C2:C1048575)</f>
        <v>1004</v>
      </c>
    </row>
  </sheetData>
  <conditionalFormatting sqref="H1:H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{441B890F-D766-4A39-BC6C-E3345F895800}</x14:id>
        </ext>
      </extLst>
    </cfRule>
  </conditionalFormatting>
  <conditionalFormatting sqref="J1:J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1B890F-D766-4A39-BC6C-E3345F8958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0841A2-C337-4F93-9550-C4E468894E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power query data 1</vt:lpstr>
      <vt:lpstr>project query data 2</vt:lpstr>
      <vt:lpstr>project power query3</vt:lpstr>
      <vt:lpstr>Chart and Analysis</vt:lpstr>
      <vt:lpstr>pivot table analysis</vt:lpstr>
      <vt:lpstr>kpi chart1</vt:lpstr>
      <vt:lpstr>dashboard</vt:lpstr>
      <vt:lpstr>data setA</vt:lpstr>
      <vt:lpstr>data set merge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</dc:creator>
  <cp:lastModifiedBy>vipin kumar</cp:lastModifiedBy>
  <dcterms:created xsi:type="dcterms:W3CDTF">2015-06-05T18:17:20Z</dcterms:created>
  <dcterms:modified xsi:type="dcterms:W3CDTF">2026-10-10T11:36:43Z</dcterms:modified>
</cp:coreProperties>
</file>